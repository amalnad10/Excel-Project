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chind\Downloads\projects\"/>
    </mc:Choice>
  </mc:AlternateContent>
  <xr:revisionPtr revIDLastSave="0" documentId="13_ncr:1_{790F1DE2-7B1E-48B3-BD3D-7DA97819860A}" xr6:coauthVersionLast="47" xr6:coauthVersionMax="47" xr10:uidLastSave="{00000000-0000-0000-0000-000000000000}"/>
  <bookViews>
    <workbookView xWindow="-108" yWindow="-108" windowWidth="23256" windowHeight="12456" activeTab="3" xr2:uid="{8E81E032-41A8-4B5C-A60B-CF0E0A000BDA}"/>
  </bookViews>
  <sheets>
    <sheet name="Pivot Table" sheetId="3" r:id="rId1"/>
    <sheet name="Sheet1" sheetId="5" r:id="rId2"/>
    <sheet name="Sales Dataset" sheetId="2" r:id="rId3"/>
    <sheet name="Dashboard Sales Dataset" sheetId="4" r:id="rId4"/>
  </sheets>
  <definedNames>
    <definedName name="_xlcn.WorksheetConnection_Excelproject.xlsxSales_Dataset1" hidden="1">Sales_Dataset[]</definedName>
    <definedName name="ExternalData_1" localSheetId="2" hidden="1">'Sales Dataset'!$A$1:$I$548</definedName>
    <definedName name="Slicer_Months__Order_Dat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set" name="Sales_Dataset" connection="WorksheetConnection_Excel project.xlsx!Sales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51" i="2" l="1"/>
  <c r="M17" i="2"/>
  <c r="M12" i="2"/>
  <c r="F549" i="2"/>
  <c r="G549" i="2"/>
  <c r="I549" i="2"/>
  <c r="H549" i="2"/>
  <c r="H104857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0096DE-BF23-4DD6-808E-968B77890B5B}" keepAlive="1" name="Query - Sales Dataset" description="Connection to the 'Sales Dataset' query in the workbook." type="5" refreshedVersion="8" background="1" saveData="1">
    <dbPr connection="Provider=Microsoft.Mashup.OleDb.1;Data Source=$Workbook$;Location=&quot;Sales Dataset&quot;;Extended Properties=&quot;&quot;" command="SELECT * FROM [Sales Dataset]"/>
  </connection>
  <connection id="2" xr16:uid="{C5B37EDD-F2EB-45D3-A847-D269B10712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51B0531-0561-4AEE-8125-7CA4CF605E17}" name="WorksheetConnection_Excel project.xlsx!Sales_Dataset" type="102" refreshedVersion="8" minRefreshableVersion="5">
    <extLst>
      <ext xmlns:x15="http://schemas.microsoft.com/office/spreadsheetml/2010/11/main" uri="{DE250136-89BD-433C-8126-D09CA5730AF9}">
        <x15:connection id="Sales_Dataset">
          <x15:rangePr sourceName="_xlcn.WorksheetConnection_Excelproject.xlsxSales_Dataset1"/>
        </x15:connection>
      </ext>
    </extLst>
  </connection>
</connections>
</file>

<file path=xl/sharedStrings.xml><?xml version="1.0" encoding="utf-8"?>
<sst xmlns="http://schemas.openxmlformats.org/spreadsheetml/2006/main" count="2255" uniqueCount="1140">
  <si>
    <t>Order ID</t>
  </si>
  <si>
    <t>Amount</t>
  </si>
  <si>
    <t>Quantity</t>
  </si>
  <si>
    <t>Category</t>
  </si>
  <si>
    <t>Order Date</t>
  </si>
  <si>
    <t>City</t>
  </si>
  <si>
    <t>B-26776</t>
  </si>
  <si>
    <t>Electronics</t>
  </si>
  <si>
    <t>Miami</t>
  </si>
  <si>
    <t>Chicago</t>
  </si>
  <si>
    <t>Robert Stone</t>
  </si>
  <si>
    <t>Buffalo</t>
  </si>
  <si>
    <t>B-26942</t>
  </si>
  <si>
    <t>Office Supplies</t>
  </si>
  <si>
    <t>John Fields</t>
  </si>
  <si>
    <t>Orlando</t>
  </si>
  <si>
    <t>B-26640</t>
  </si>
  <si>
    <t>Richard Kelley</t>
  </si>
  <si>
    <t>Los Angeles</t>
  </si>
  <si>
    <t>Furniture</t>
  </si>
  <si>
    <t>B-25890</t>
  </si>
  <si>
    <t>Jacqueline Hubbard</t>
  </si>
  <si>
    <t>New York City</t>
  </si>
  <si>
    <t>B-25102</t>
  </si>
  <si>
    <t>Jessica Anderson</t>
  </si>
  <si>
    <t>B-25426</t>
  </si>
  <si>
    <t>Mary Taylor</t>
  </si>
  <si>
    <t>B-25238</t>
  </si>
  <si>
    <t>Walter Crawford</t>
  </si>
  <si>
    <t>Springfield</t>
  </si>
  <si>
    <t>B-25051</t>
  </si>
  <si>
    <t>Lawrence Robinson</t>
  </si>
  <si>
    <t>Rochester</t>
  </si>
  <si>
    <t>B-26510</t>
  </si>
  <si>
    <t>Dallas</t>
  </si>
  <si>
    <t>Ricardo Andrews</t>
  </si>
  <si>
    <t>San Diego</t>
  </si>
  <si>
    <t>B-25104</t>
  </si>
  <si>
    <t>Paul Raymond</t>
  </si>
  <si>
    <t>B-25553</t>
  </si>
  <si>
    <t>Karen Johnson</t>
  </si>
  <si>
    <t>B-26703</t>
  </si>
  <si>
    <t>Juan Erickson</t>
  </si>
  <si>
    <t>Austin</t>
  </si>
  <si>
    <t>B-26232</t>
  </si>
  <si>
    <t>Jacqueline Harris</t>
  </si>
  <si>
    <t>San Francisco</t>
  </si>
  <si>
    <t>B-25394</t>
  </si>
  <si>
    <t>Tyler Park</t>
  </si>
  <si>
    <t>Columbus</t>
  </si>
  <si>
    <t>B-26157</t>
  </si>
  <si>
    <t>Sierra Rios</t>
  </si>
  <si>
    <t>B-25555</t>
  </si>
  <si>
    <t>Kimberly Warren</t>
  </si>
  <si>
    <t>Cincinnati</t>
  </si>
  <si>
    <t>B-26139</t>
  </si>
  <si>
    <t>Casey Garcia</t>
  </si>
  <si>
    <t>B-25032</t>
  </si>
  <si>
    <t>Denise Hampton</t>
  </si>
  <si>
    <t>B-25730</t>
  </si>
  <si>
    <t>Cleveland</t>
  </si>
  <si>
    <t>Ms. Emily Baxter</t>
  </si>
  <si>
    <t>B-26470</t>
  </si>
  <si>
    <t>Morgan Montes</t>
  </si>
  <si>
    <t>B-25988</t>
  </si>
  <si>
    <t>Connie Holmes</t>
  </si>
  <si>
    <t>B-25568</t>
  </si>
  <si>
    <t>Melissa Peck</t>
  </si>
  <si>
    <t>B-26730</t>
  </si>
  <si>
    <t>Houston</t>
  </si>
  <si>
    <t>B-25372</t>
  </si>
  <si>
    <t>Heather Jenkins</t>
  </si>
  <si>
    <t>B-26026</t>
  </si>
  <si>
    <t>Kelsey Castaneda</t>
  </si>
  <si>
    <t>B-25295</t>
  </si>
  <si>
    <t>Paul Rogers</t>
  </si>
  <si>
    <t>B-26121</t>
  </si>
  <si>
    <t>Tampa</t>
  </si>
  <si>
    <t>Michelle Williams</t>
  </si>
  <si>
    <t>B-25560</t>
  </si>
  <si>
    <t>Andrew Allen</t>
  </si>
  <si>
    <t>B-26076</t>
  </si>
  <si>
    <t>Vanessa Bauer</t>
  </si>
  <si>
    <t>B-25872</t>
  </si>
  <si>
    <t>Shelly Sweeney</t>
  </si>
  <si>
    <t>B-26185</t>
  </si>
  <si>
    <t>Emily Gill</t>
  </si>
  <si>
    <t>B-26259</t>
  </si>
  <si>
    <t>Kayla Ross</t>
  </si>
  <si>
    <t>Peoria</t>
  </si>
  <si>
    <t>B-25142</t>
  </si>
  <si>
    <t>Marc Strickland</t>
  </si>
  <si>
    <t>B-25326</t>
  </si>
  <si>
    <t>Charles Smith</t>
  </si>
  <si>
    <t>B-26795</t>
  </si>
  <si>
    <t>Karen Townsend</t>
  </si>
  <si>
    <t>B-25660</t>
  </si>
  <si>
    <t>Steven Cox</t>
  </si>
  <si>
    <t>B-25410</t>
  </si>
  <si>
    <t>Jessica Baker</t>
  </si>
  <si>
    <t>B-25690</t>
  </si>
  <si>
    <t>Mark Blackburn</t>
  </si>
  <si>
    <t>B-26464</t>
  </si>
  <si>
    <t>Zachary Perez</t>
  </si>
  <si>
    <t>B-26454</t>
  </si>
  <si>
    <t>Becky Leach</t>
  </si>
  <si>
    <t>B-26742</t>
  </si>
  <si>
    <t>Tony Maddox</t>
  </si>
  <si>
    <t>B-25510</t>
  </si>
  <si>
    <t>Mrs. Stephanie Hooper</t>
  </si>
  <si>
    <t>B-25936</t>
  </si>
  <si>
    <t>Susan Burke</t>
  </si>
  <si>
    <t>B-25884</t>
  </si>
  <si>
    <t>Wanda West</t>
  </si>
  <si>
    <t>B-26287</t>
  </si>
  <si>
    <t>Renee Solomon</t>
  </si>
  <si>
    <t>B-26564</t>
  </si>
  <si>
    <t>Daryl Miles</t>
  </si>
  <si>
    <t>B-26293</t>
  </si>
  <si>
    <t>Michael Hunt</t>
  </si>
  <si>
    <t>B-25915</t>
  </si>
  <si>
    <t>Stacey Miller</t>
  </si>
  <si>
    <t>B-26496</t>
  </si>
  <si>
    <t>Daniel Mosley</t>
  </si>
  <si>
    <t>B-25856</t>
  </si>
  <si>
    <t>Monica Gibson</t>
  </si>
  <si>
    <t>B-26899</t>
  </si>
  <si>
    <t>Christopher Jordan</t>
  </si>
  <si>
    <t>B-25916</t>
  </si>
  <si>
    <t>Claudia Curry</t>
  </si>
  <si>
    <t>B-26428</t>
  </si>
  <si>
    <t>Brandon Anderson</t>
  </si>
  <si>
    <t>B-26332</t>
  </si>
  <si>
    <t>Nicholas Anderson</t>
  </si>
  <si>
    <t>B-25303</t>
  </si>
  <si>
    <t>Michelle Hunter</t>
  </si>
  <si>
    <t>B-26507</t>
  </si>
  <si>
    <t>Janet Guerrero</t>
  </si>
  <si>
    <t>B-25983</t>
  </si>
  <si>
    <t>Ryan Bullock</t>
  </si>
  <si>
    <t>B-25156</t>
  </si>
  <si>
    <t>Tom Lawson</t>
  </si>
  <si>
    <t>B-26759</t>
  </si>
  <si>
    <t>Rebecca Smith</t>
  </si>
  <si>
    <t>B-26244</t>
  </si>
  <si>
    <t>William Welch</t>
  </si>
  <si>
    <t>B-26365</t>
  </si>
  <si>
    <t>Mr. Curtis Bailey</t>
  </si>
  <si>
    <t>B-26212</t>
  </si>
  <si>
    <t>Janet Carlson</t>
  </si>
  <si>
    <t>B-25042</t>
  </si>
  <si>
    <t>Spencer Spears</t>
  </si>
  <si>
    <t>B-25901</t>
  </si>
  <si>
    <t>Veronica Kelley</t>
  </si>
  <si>
    <t>B-26747</t>
  </si>
  <si>
    <t>Amy Wilson</t>
  </si>
  <si>
    <t>B-26698</t>
  </si>
  <si>
    <t>Susan Ramirez</t>
  </si>
  <si>
    <t>B-25841</t>
  </si>
  <si>
    <t>Jacob Meyer</t>
  </si>
  <si>
    <t>B-26032</t>
  </si>
  <si>
    <t>Scott Lewis</t>
  </si>
  <si>
    <t>B-25171</t>
  </si>
  <si>
    <t>David Figueroa</t>
  </si>
  <si>
    <t>B-26939</t>
  </si>
  <si>
    <t>Theresa Medina</t>
  </si>
  <si>
    <t>B-26347</t>
  </si>
  <si>
    <t>Mary Smith</t>
  </si>
  <si>
    <t>B-25388</t>
  </si>
  <si>
    <t>Shawn Leach</t>
  </si>
  <si>
    <t>B-26419</t>
  </si>
  <si>
    <t>John Stevens</t>
  </si>
  <si>
    <t>B-25157</t>
  </si>
  <si>
    <t>Lisa Graham</t>
  </si>
  <si>
    <t>B-25342</t>
  </si>
  <si>
    <t>Nancy Jones</t>
  </si>
  <si>
    <t>B-26165</t>
  </si>
  <si>
    <t>Darryl Robbins</t>
  </si>
  <si>
    <t>B-26571</t>
  </si>
  <si>
    <t>Kimberly Smith</t>
  </si>
  <si>
    <t>B-25400</t>
  </si>
  <si>
    <t>Nicholas Johnson</t>
  </si>
  <si>
    <t>B-25885</t>
  </si>
  <si>
    <t>Dawn Howard</t>
  </si>
  <si>
    <t>B-25004</t>
  </si>
  <si>
    <t>Jennifer Marshall</t>
  </si>
  <si>
    <t>B-26213</t>
  </si>
  <si>
    <t>Terri Madden</t>
  </si>
  <si>
    <t>B-25025</t>
  </si>
  <si>
    <t>James Gutierrez</t>
  </si>
  <si>
    <t>B-26804</t>
  </si>
  <si>
    <t>Morgan Sellers</t>
  </si>
  <si>
    <t>B-26797</t>
  </si>
  <si>
    <t>Caitlin Thomas</t>
  </si>
  <si>
    <t>B-26556</t>
  </si>
  <si>
    <t>Kimberly Greene</t>
  </si>
  <si>
    <t>B-25861</t>
  </si>
  <si>
    <t>Tammy Anthony</t>
  </si>
  <si>
    <t>B-25112</t>
  </si>
  <si>
    <t>Tyler Thompson</t>
  </si>
  <si>
    <t>B-25223</t>
  </si>
  <si>
    <t>Heidi Davis</t>
  </si>
  <si>
    <t>B-25714</t>
  </si>
  <si>
    <t>Joyce Good MD</t>
  </si>
  <si>
    <t>B-26607</t>
  </si>
  <si>
    <t>Maria Miller</t>
  </si>
  <si>
    <t>B-25038</t>
  </si>
  <si>
    <t>Terry Mcdaniel</t>
  </si>
  <si>
    <t>B-26672</t>
  </si>
  <si>
    <t>Renee Robinson</t>
  </si>
  <si>
    <t>B-25747</t>
  </si>
  <si>
    <t>Nicholas Martin</t>
  </si>
  <si>
    <t>B-26322</t>
  </si>
  <si>
    <t>David Brown</t>
  </si>
  <si>
    <t>B-26613</t>
  </si>
  <si>
    <t>Amber Moore</t>
  </si>
  <si>
    <t>B-25413</t>
  </si>
  <si>
    <t>James Williams</t>
  </si>
  <si>
    <t>B-26466</t>
  </si>
  <si>
    <t>Karina Barr</t>
  </si>
  <si>
    <t>B-26610</t>
  </si>
  <si>
    <t>Meghan Rush</t>
  </si>
  <si>
    <t>B-26209</t>
  </si>
  <si>
    <t>Bianca Brown</t>
  </si>
  <si>
    <t>B-26622</t>
  </si>
  <si>
    <t>Timothy Jensen</t>
  </si>
  <si>
    <t>B-26601</t>
  </si>
  <si>
    <t>Melinda Montoya</t>
  </si>
  <si>
    <t>B-25894</t>
  </si>
  <si>
    <t>Tammy Bell</t>
  </si>
  <si>
    <t>B-26969</t>
  </si>
  <si>
    <t>Peter Ward</t>
  </si>
  <si>
    <t>B-26312</t>
  </si>
  <si>
    <t>Jonathan Alvarez</t>
  </si>
  <si>
    <t>B-26837</t>
  </si>
  <si>
    <t>Larry Hill</t>
  </si>
  <si>
    <t>B-26166</t>
  </si>
  <si>
    <t>Cynthia Wilcox</t>
  </si>
  <si>
    <t>B-25695</t>
  </si>
  <si>
    <t>Sarah Flores</t>
  </si>
  <si>
    <t>B-26068</t>
  </si>
  <si>
    <t>Carol Norman</t>
  </si>
  <si>
    <t>B-26023</t>
  </si>
  <si>
    <t>Stephanie Gardner</t>
  </si>
  <si>
    <t>B-26677</t>
  </si>
  <si>
    <t>Randall Dennis</t>
  </si>
  <si>
    <t>B-25701</t>
  </si>
  <si>
    <t>Suzanne Cross</t>
  </si>
  <si>
    <t>B-26523</t>
  </si>
  <si>
    <t>Kristen Harper</t>
  </si>
  <si>
    <t>B-25880</t>
  </si>
  <si>
    <t>Kaitlyn Graham MD</t>
  </si>
  <si>
    <t>B-26898</t>
  </si>
  <si>
    <t>Dean Avila</t>
  </si>
  <si>
    <t>B-26035</t>
  </si>
  <si>
    <t>Megan Mack</t>
  </si>
  <si>
    <t>B-25573</t>
  </si>
  <si>
    <t>Heather Johnson</t>
  </si>
  <si>
    <t>B-25463</t>
  </si>
  <si>
    <t>Tina Davies</t>
  </si>
  <si>
    <t>B-26277</t>
  </si>
  <si>
    <t>Matthew Harris</t>
  </si>
  <si>
    <t>B-26508</t>
  </si>
  <si>
    <t>Eric Stevens</t>
  </si>
  <si>
    <t>B-26723</t>
  </si>
  <si>
    <t>James Jones</t>
  </si>
  <si>
    <t>B-25526</t>
  </si>
  <si>
    <t>Hannah Hendricks</t>
  </si>
  <si>
    <t>B-25645</t>
  </si>
  <si>
    <t>Brett Mullins</t>
  </si>
  <si>
    <t>B-25757</t>
  </si>
  <si>
    <t>Ms. Kim Jordan</t>
  </si>
  <si>
    <t>B-26716</t>
  </si>
  <si>
    <t>Marcus Santiago</t>
  </si>
  <si>
    <t>B-25424</t>
  </si>
  <si>
    <t>Jill Perez</t>
  </si>
  <si>
    <t>B-26453</t>
  </si>
  <si>
    <t>Jordan Hahn</t>
  </si>
  <si>
    <t>B-26425</t>
  </si>
  <si>
    <t>William Cook</t>
  </si>
  <si>
    <t>B-25843</t>
  </si>
  <si>
    <t>Stephanie Hayes</t>
  </si>
  <si>
    <t>B-25486</t>
  </si>
  <si>
    <t>Melissa Wise</t>
  </si>
  <si>
    <t>B-26975</t>
  </si>
  <si>
    <t>Elizabeth Gonzalez</t>
  </si>
  <si>
    <t>B-26890</t>
  </si>
  <si>
    <t>Mr. Eric Lopez</t>
  </si>
  <si>
    <t>B-26125</t>
  </si>
  <si>
    <t>Benjamin Higgins</t>
  </si>
  <si>
    <t>B-26489</t>
  </si>
  <si>
    <t>Michelle Bailey</t>
  </si>
  <si>
    <t>B-26043</t>
  </si>
  <si>
    <t>Sara Peterson</t>
  </si>
  <si>
    <t>B-26557</t>
  </si>
  <si>
    <t>Katherine Williams</t>
  </si>
  <si>
    <t>B-25243</t>
  </si>
  <si>
    <t>Cory Evans</t>
  </si>
  <si>
    <t>B-26932</t>
  </si>
  <si>
    <t>Michael Rodriguez</t>
  </si>
  <si>
    <t>B-25241</t>
  </si>
  <si>
    <t>John Munoz</t>
  </si>
  <si>
    <t>B-25044</t>
  </si>
  <si>
    <t>April Welch</t>
  </si>
  <si>
    <t>B-26137</t>
  </si>
  <si>
    <t>Richard Maynard</t>
  </si>
  <si>
    <t>B-25545</t>
  </si>
  <si>
    <t>Lawrence Oliver</t>
  </si>
  <si>
    <t>B-26800</t>
  </si>
  <si>
    <t>Anthony Williams</t>
  </si>
  <si>
    <t>B-26987</t>
  </si>
  <si>
    <t>Lynn Matthews</t>
  </si>
  <si>
    <t>B-26144</t>
  </si>
  <si>
    <t>Andrew Griffin</t>
  </si>
  <si>
    <t>B-25406</t>
  </si>
  <si>
    <t>Megan Williams</t>
  </si>
  <si>
    <t>B-25658</t>
  </si>
  <si>
    <t>Samuel Wallace</t>
  </si>
  <si>
    <t>B-25733</t>
  </si>
  <si>
    <t>Manuel Stark</t>
  </si>
  <si>
    <t>B-26993</t>
  </si>
  <si>
    <t>William Villarreal</t>
  </si>
  <si>
    <t>B-26964</t>
  </si>
  <si>
    <t>Brandon Kirk</t>
  </si>
  <si>
    <t>B-26955</t>
  </si>
  <si>
    <t>Kristine Carter</t>
  </si>
  <si>
    <t>B-26059</t>
  </si>
  <si>
    <t>Wesley Deleon</t>
  </si>
  <si>
    <t>B-26806</t>
  </si>
  <si>
    <t>Laura Cole</t>
  </si>
  <si>
    <t>B-26299</t>
  </si>
  <si>
    <t>Lauren Harris</t>
  </si>
  <si>
    <t>B-26743</t>
  </si>
  <si>
    <t>Pamela Callahan DVM</t>
  </si>
  <si>
    <t>B-26757</t>
  </si>
  <si>
    <t>William Ruiz</t>
  </si>
  <si>
    <t>B-26772</t>
  </si>
  <si>
    <t>Paula Marshall</t>
  </si>
  <si>
    <t>B-26088</t>
  </si>
  <si>
    <t>Natalie Cox</t>
  </si>
  <si>
    <t>B-26319</t>
  </si>
  <si>
    <t>Andrew Fernandez</t>
  </si>
  <si>
    <t>B-25364</t>
  </si>
  <si>
    <t>Travis Chandler DDS</t>
  </si>
  <si>
    <t>B-25655</t>
  </si>
  <si>
    <t>Russell Austin</t>
  </si>
  <si>
    <t>B-26864</t>
  </si>
  <si>
    <t>Collin Cameron</t>
  </si>
  <si>
    <t>B-26019</t>
  </si>
  <si>
    <t>Elizabeth Hernandez</t>
  </si>
  <si>
    <t>B-25849</t>
  </si>
  <si>
    <t>William Russell</t>
  </si>
  <si>
    <t>B-25829</t>
  </si>
  <si>
    <t>Anthony Barnett</t>
  </si>
  <si>
    <t>B-26065</t>
  </si>
  <si>
    <t>Rebecca Owen</t>
  </si>
  <si>
    <t>B-25267</t>
  </si>
  <si>
    <t>Michael Bell</t>
  </si>
  <si>
    <t>B-25972</t>
  </si>
  <si>
    <t>Willie Huynh</t>
  </si>
  <si>
    <t>B-25511</t>
  </si>
  <si>
    <t>Samuel Hayes</t>
  </si>
  <si>
    <t>B-25744</t>
  </si>
  <si>
    <t>Sherry Tran</t>
  </si>
  <si>
    <t>B-26805</t>
  </si>
  <si>
    <t>Heather Gray</t>
  </si>
  <si>
    <t>B-25620</t>
  </si>
  <si>
    <t>Micheal Graham</t>
  </si>
  <si>
    <t>B-25325</t>
  </si>
  <si>
    <t>Jean Jackson</t>
  </si>
  <si>
    <t>B-25131</t>
  </si>
  <si>
    <t>Timothy Murphy</t>
  </si>
  <si>
    <t>B-26654</t>
  </si>
  <si>
    <t>Mrs. Jennifer Lewis</t>
  </si>
  <si>
    <t>B-26195</t>
  </si>
  <si>
    <t>Christopher Johnson</t>
  </si>
  <si>
    <t>B-25842</t>
  </si>
  <si>
    <t>Luis Luna</t>
  </si>
  <si>
    <t>B-25851</t>
  </si>
  <si>
    <t>Julie Chavez</t>
  </si>
  <si>
    <t>B-25427</t>
  </si>
  <si>
    <t>Richard Blair</t>
  </si>
  <si>
    <t>B-26224</t>
  </si>
  <si>
    <t>Mr. John Tyler PhD</t>
  </si>
  <si>
    <t>B-26896</t>
  </si>
  <si>
    <t>Morgan Sullivan</t>
  </si>
  <si>
    <t>B-26469</t>
  </si>
  <si>
    <t>Eric Clark</t>
  </si>
  <si>
    <t>B-26219</t>
  </si>
  <si>
    <t>Mark Padilla</t>
  </si>
  <si>
    <t>B-26119</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</si>
  <si>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</si>
  <si>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</si>
  <si>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</si>
  <si>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</si>
  <si>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</si>
  <si>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</si>
  <si>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</si>
  <si>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</si>
  <si>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</si>
  <si>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</si>
  <si>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</si>
  <si>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</si>
  <si>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</si>
  <si>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</si>
  <si>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Mark Roy</t>
  </si>
  <si>
    <t>B-25919</t>
  </si>
  <si>
    <t>Rebekah Carter</t>
  </si>
  <si>
    <t>B-26978</t>
  </si>
  <si>
    <t>Roger Harris</t>
  </si>
  <si>
    <t>B-26554</t>
  </si>
  <si>
    <t>Renee Gomez</t>
  </si>
  <si>
    <t>B-26883</t>
  </si>
  <si>
    <t>Christian Jones</t>
  </si>
  <si>
    <t>B-25423</t>
  </si>
  <si>
    <t>Matthew Kelley</t>
  </si>
  <si>
    <t>B-26324</t>
  </si>
  <si>
    <t>Keith Reese</t>
  </si>
  <si>
    <t>B-26945</t>
  </si>
  <si>
    <t>Aaron Jones</t>
  </si>
  <si>
    <t>B-26405</t>
  </si>
  <si>
    <t>Christopher Brooks</t>
  </si>
  <si>
    <t>B-26046</t>
  </si>
  <si>
    <t>Charles Moore</t>
  </si>
  <si>
    <t>B-25746</t>
  </si>
  <si>
    <t>Manuel Walls</t>
  </si>
  <si>
    <t>B-25232</t>
  </si>
  <si>
    <t>Stephanie Thomas</t>
  </si>
  <si>
    <t>B-25591</t>
  </si>
  <si>
    <t>Randy Johnson</t>
  </si>
  <si>
    <t>B-26325</t>
  </si>
  <si>
    <t>James Benitez</t>
  </si>
  <si>
    <t>B-25251</t>
  </si>
  <si>
    <t>Tiffany Parker</t>
  </si>
  <si>
    <t>B-25464</t>
  </si>
  <si>
    <t>Melissa Mcknight</t>
  </si>
  <si>
    <t>B-26678</t>
  </si>
  <si>
    <t>Mr. Jack Mercado</t>
  </si>
  <si>
    <t>B-25962</t>
  </si>
  <si>
    <t>William Wu</t>
  </si>
  <si>
    <t>B-26586</t>
  </si>
  <si>
    <t>Robert Daniels</t>
  </si>
  <si>
    <t>B-26841</t>
  </si>
  <si>
    <t>Jill Jones</t>
  </si>
  <si>
    <t>B-26284</t>
  </si>
  <si>
    <t>Sabrina Clark</t>
  </si>
  <si>
    <t>B-26478</t>
  </si>
  <si>
    <t>James Tanner</t>
  </si>
  <si>
    <t>B-26679</t>
  </si>
  <si>
    <t>Richard Lee</t>
  </si>
  <si>
    <t>B-26397</t>
  </si>
  <si>
    <t>Tonya Long</t>
  </si>
  <si>
    <t>B-25957</t>
  </si>
  <si>
    <t>Michael Chambers</t>
  </si>
  <si>
    <t>B-26916</t>
  </si>
  <si>
    <t>Pamela Patterson</t>
  </si>
  <si>
    <t>B-25925</t>
  </si>
  <si>
    <t>Ronald Mckinney</t>
  </si>
  <si>
    <t>B-25602</t>
  </si>
  <si>
    <t>Rhonda Harris</t>
  </si>
  <si>
    <t>B-26592</t>
  </si>
  <si>
    <t>James Hernandez</t>
  </si>
  <si>
    <t>B-26251</t>
  </si>
  <si>
    <t>Brenda Murphy</t>
  </si>
  <si>
    <t>B-25979</t>
  </si>
  <si>
    <t>Andrew Kirby</t>
  </si>
  <si>
    <t>B-25437</t>
  </si>
  <si>
    <t>Justin Thomas</t>
  </si>
  <si>
    <t>B-26986</t>
  </si>
  <si>
    <t>William Martin</t>
  </si>
  <si>
    <t>B-25990</t>
  </si>
  <si>
    <t>Mark Dixon</t>
  </si>
  <si>
    <t>B-25222</t>
  </si>
  <si>
    <t>Cynthia Meyer</t>
  </si>
  <si>
    <t>B-26402</t>
  </si>
  <si>
    <t>Christina Scott</t>
  </si>
  <si>
    <t>B-26792</t>
  </si>
  <si>
    <t>Andrew Macias</t>
  </si>
  <si>
    <t>B-25154</t>
  </si>
  <si>
    <t>Mark Rodriguez</t>
  </si>
  <si>
    <t>B-26114</t>
  </si>
  <si>
    <t>Sarah Montgomery</t>
  </si>
  <si>
    <t>B-26485</t>
  </si>
  <si>
    <t>Marisa Prince</t>
  </si>
  <si>
    <t>B-26191</t>
  </si>
  <si>
    <t>James Bonilla</t>
  </si>
  <si>
    <t>B-26754</t>
  </si>
  <si>
    <t>Robin Myers</t>
  </si>
  <si>
    <t>B-25953</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</si>
  <si>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</si>
  <si>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</si>
  <si>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</si>
  <si>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</si>
  <si>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</si>
  <si>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</si>
  <si>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</si>
  <si>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</si>
  <si>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</si>
  <si>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</si>
  <si>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</si>
  <si>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</si>
  <si>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</si>
  <si>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</si>
  <si>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</si>
  <si>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Cathy Clark</t>
  </si>
  <si>
    <t>B-25226</t>
  </si>
  <si>
    <t>Nicole Warren</t>
  </si>
  <si>
    <t>B-25166</t>
  </si>
  <si>
    <t>Sarah Torres</t>
  </si>
  <si>
    <t>B-25454</t>
  </si>
  <si>
    <t>Vanessa Deleon</t>
  </si>
  <si>
    <t>B-26215</t>
  </si>
  <si>
    <t>Richard Lyons</t>
  </si>
  <si>
    <t>B-25777</t>
  </si>
  <si>
    <t>Eric Adams</t>
  </si>
  <si>
    <t>B-25383</t>
  </si>
  <si>
    <t>Kayla Becker</t>
  </si>
  <si>
    <t>B-26409</t>
  </si>
  <si>
    <t>Scott Harris</t>
  </si>
  <si>
    <t>B-26684</t>
  </si>
  <si>
    <t>Jesse Bond</t>
  </si>
  <si>
    <t>B-26726</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</si>
  <si>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</si>
  <si>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</si>
  <si>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</si>
  <si>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</si>
  <si>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</si>
  <si>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</si>
  <si>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</si>
  <si>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</si>
  <si>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</si>
  <si>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</si>
  <si>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</si>
  <si>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</si>
  <si>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</si>
  <si>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</si>
  <si>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</si>
  <si>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</si>
  <si>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</si>
  <si>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B-26268</t>
  </si>
  <si>
    <t>Crystal Ross</t>
  </si>
  <si>
    <t>B-25456</t>
  </si>
  <si>
    <t>Stephanie Sanchez</t>
  </si>
  <si>
    <t>B-25495</t>
  </si>
  <si>
    <t>Sandra Hicks</t>
  </si>
  <si>
    <t>B-26552</t>
  </si>
  <si>
    <t>Olivia Orozco</t>
  </si>
  <si>
    <t>B-25203</t>
  </si>
  <si>
    <t>Daniel Flowers</t>
  </si>
  <si>
    <t>B-25462</t>
  </si>
  <si>
    <t>Randy Acosta</t>
  </si>
  <si>
    <t>B-26145</t>
  </si>
  <si>
    <t>Robert Michael</t>
  </si>
  <si>
    <t>B-25552</t>
  </si>
  <si>
    <t>Danny Ramirez</t>
  </si>
  <si>
    <t>B-26069</t>
  </si>
  <si>
    <t>Stephen Baker</t>
  </si>
  <si>
    <t>B-25120</t>
  </si>
  <si>
    <t>Ronald Frey Jr.</t>
  </si>
  <si>
    <t>B-26146</t>
  </si>
  <si>
    <t>Megan Charles</t>
  </si>
  <si>
    <t>B-25549</t>
  </si>
  <si>
    <t>Amy Duran MD</t>
  </si>
  <si>
    <t>B-25488</t>
  </si>
  <si>
    <t>Christopher Thomas</t>
  </si>
  <si>
    <t>B-26885</t>
  </si>
  <si>
    <t>Peter Castro</t>
  </si>
  <si>
    <t>B-25703</t>
  </si>
  <si>
    <t>Steven Acosta</t>
  </si>
  <si>
    <t>B-25809</t>
  </si>
  <si>
    <t>Sabrina Hartman</t>
  </si>
  <si>
    <t>B-25477</t>
  </si>
  <si>
    <t>Olivia Dickerson</t>
  </si>
  <si>
    <t>B-26018</t>
  </si>
  <si>
    <t>Whitney Stout</t>
  </si>
  <si>
    <t>B-25329</t>
  </si>
  <si>
    <t>Stephanie Flores</t>
  </si>
  <si>
    <t>B-25182</t>
  </si>
  <si>
    <t>Natalie Maxwell</t>
  </si>
  <si>
    <t>B-25492</t>
  </si>
  <si>
    <t>Tina Blake</t>
  </si>
  <si>
    <t>B-25517</t>
  </si>
  <si>
    <t>Tamara Guzman</t>
  </si>
  <si>
    <t>B-25200</t>
  </si>
  <si>
    <t>Marissa Hartman</t>
  </si>
  <si>
    <t>B-26009</t>
  </si>
  <si>
    <t>Sara Garcia</t>
  </si>
  <si>
    <t>B-26580</t>
  </si>
  <si>
    <t>Kyle Dickson</t>
  </si>
  <si>
    <t>B-25679</t>
  </si>
  <si>
    <t>Jacob Decker</t>
  </si>
  <si>
    <t>B-26034</t>
  </si>
  <si>
    <t>Aaron Johnson</t>
  </si>
  <si>
    <t>B-25148</t>
  </si>
  <si>
    <t>William Morse</t>
  </si>
  <si>
    <t>B-25830</t>
  </si>
  <si>
    <t>Vincent Roth</t>
  </si>
  <si>
    <t>B-25762</t>
  </si>
  <si>
    <t>Jason Wilson</t>
  </si>
  <si>
    <t>B-26794</t>
  </si>
  <si>
    <t>Colin Patterson</t>
  </si>
  <si>
    <t>B-25011</t>
  </si>
  <si>
    <t>Steven Keith</t>
  </si>
  <si>
    <t>B-25515</t>
  </si>
  <si>
    <t>Seth Rodriguez</t>
  </si>
  <si>
    <t>B-25369</t>
  </si>
  <si>
    <t>Thomas Wallace</t>
  </si>
  <si>
    <t>B-26222</t>
  </si>
  <si>
    <t>Carol Mitchell</t>
  </si>
  <si>
    <t>B-25316</t>
  </si>
  <si>
    <t>John Thompson</t>
  </si>
  <si>
    <t>B-25507</t>
  </si>
  <si>
    <t>Debra Rodriguez</t>
  </si>
  <si>
    <t>B-25846</t>
  </si>
  <si>
    <t>Erin Vasquez</t>
  </si>
  <si>
    <t>B-25763</t>
  </si>
  <si>
    <t>Clayton Lara</t>
  </si>
  <si>
    <t>B-25465</t>
  </si>
  <si>
    <t>Tony Ray</t>
  </si>
  <si>
    <t>B-26352</t>
  </si>
  <si>
    <t>Marcus Brown</t>
  </si>
  <si>
    <t>B-26528</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</si>
  <si>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</si>
  <si>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</si>
  <si>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</si>
  <si>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</si>
  <si>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</si>
  <si>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</si>
  <si>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</si>
  <si>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</si>
  <si>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</si>
  <si>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</si>
  <si>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</si>
  <si>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</si>
  <si>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</si>
  <si>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</si>
  <si>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</si>
  <si>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</si>
  <si>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</si>
  <si>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</si>
  <si>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</si>
  <si>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</si>
  <si>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</si>
  <si>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</si>
  <si>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</si>
  <si>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</si>
  <si>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Zachary Carpenter</t>
  </si>
  <si>
    <t>B-26922</t>
  </si>
  <si>
    <t>Timothy Baker</t>
  </si>
  <si>
    <t>B-26894</t>
  </si>
  <si>
    <t>Adam James</t>
  </si>
  <si>
    <t>B-25330</t>
  </si>
  <si>
    <t>Katrina Wood</t>
  </si>
  <si>
    <t>B-26288</t>
  </si>
  <si>
    <t>Mr. Nathaniel Reeves</t>
  </si>
  <si>
    <t>B-25228</t>
  </si>
  <si>
    <t>Jodi Wood</t>
  </si>
  <si>
    <t>B-26457</t>
  </si>
  <si>
    <t>Mario Hall</t>
  </si>
  <si>
    <t>B-25790</t>
  </si>
  <si>
    <t>Justin Rosales</t>
  </si>
  <si>
    <t>B-25868</t>
  </si>
  <si>
    <t>Victoria Duran</t>
  </si>
  <si>
    <t>B-25381</t>
  </si>
  <si>
    <t>Dawn Webb</t>
  </si>
  <si>
    <t>B-25153</t>
  </si>
  <si>
    <t>Patricia Sanford</t>
  </si>
  <si>
    <t>B-26576</t>
  </si>
  <si>
    <t>William Walters</t>
  </si>
  <si>
    <t>B-26526</t>
  </si>
  <si>
    <t>Sabrina Buckley</t>
  </si>
  <si>
    <t>B-25819</t>
  </si>
  <si>
    <t>Robert Rojas</t>
  </si>
  <si>
    <t>B-25698</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</si>
  <si>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</si>
  <si>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</si>
  <si>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</si>
  <si>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</si>
  <si>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</si>
  <si>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</si>
  <si>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</si>
  <si>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</si>
  <si>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</si>
  <si>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</si>
  <si>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</si>
  <si>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</si>
  <si>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</si>
  <si>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</si>
  <si>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</si>
  <si>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</si>
  <si>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</si>
  <si>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B-25237</t>
  </si>
  <si>
    <t>Jim Johnson</t>
  </si>
  <si>
    <t>B-26122</t>
  </si>
  <si>
    <t>Michael Jimenez</t>
  </si>
  <si>
    <t>B-25709</t>
  </si>
  <si>
    <t>Denise Mcdaniel</t>
  </si>
  <si>
    <t>B-26656</t>
  </si>
  <si>
    <t>B-25801</t>
  </si>
  <si>
    <t>Kerri Andrews</t>
  </si>
  <si>
    <t>B-25006</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</si>
  <si>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</si>
  <si>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</si>
  <si>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</si>
  <si>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</si>
  <si>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</si>
  <si>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</si>
  <si>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</si>
  <si>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</si>
  <si>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</si>
  <si>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</si>
  <si>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</si>
  <si>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</si>
  <si>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</si>
  <si>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</si>
  <si>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</si>
  <si>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</si>
  <si>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</si>
  <si>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</si>
  <si>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</si>
  <si>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</si>
  <si>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</si>
  <si>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</si>
  <si>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</si>
  <si>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</si>
  <si>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</si>
  <si>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B-25170</t>
  </si>
  <si>
    <t>Matthew Gardner</t>
  </si>
  <si>
    <t>B-26842</t>
  </si>
  <si>
    <t>Joseph Perkins</t>
  </si>
  <si>
    <t>B-26599</t>
  </si>
  <si>
    <t>Jorge George</t>
  </si>
  <si>
    <t>B-25705</t>
  </si>
  <si>
    <t>Ann Mooney</t>
  </si>
  <si>
    <t>B-26366</t>
  </si>
  <si>
    <t>Kaitlin Garrison</t>
  </si>
  <si>
    <t>B-26116</t>
  </si>
  <si>
    <t>Jeremy Jackson</t>
  </si>
  <si>
    <t>B-26443</t>
  </si>
  <si>
    <t>Joseph Hooper</t>
  </si>
  <si>
    <t>B-25955</t>
  </si>
  <si>
    <t>Ashlee Mills</t>
  </si>
  <si>
    <t>B-26383</t>
  </si>
  <si>
    <t>Eddie Gonzales</t>
  </si>
  <si>
    <t>B-26999</t>
  </si>
  <si>
    <t>Edward Valencia</t>
  </si>
  <si>
    <t>B-26712</t>
  </si>
  <si>
    <t>Emma Bruce</t>
  </si>
  <si>
    <t>B-26066</t>
  </si>
  <si>
    <t>Carl Wade DDS</t>
  </si>
  <si>
    <t>B-25996</t>
  </si>
  <si>
    <t>Jennifer Clark</t>
  </si>
  <si>
    <t>B-26924</t>
  </si>
  <si>
    <t>David Johnson</t>
  </si>
  <si>
    <t>B-25541</t>
  </si>
  <si>
    <t>Michael Hanson</t>
  </si>
  <si>
    <t>B-25196</t>
  </si>
  <si>
    <t>William Hill</t>
  </si>
  <si>
    <t>B-25855</t>
  </si>
  <si>
    <t>Kelsey Huber</t>
  </si>
  <si>
    <t>B-25071</t>
  </si>
  <si>
    <t>Hailey Chandler</t>
  </si>
  <si>
    <t>B-26159</t>
  </si>
  <si>
    <t>Richard Petersen</t>
  </si>
  <si>
    <t>B-26228</t>
  </si>
  <si>
    <t>Kathryn Gray</t>
  </si>
  <si>
    <t>B-25888</t>
  </si>
  <si>
    <t>Victor Collins</t>
  </si>
  <si>
    <t>B-25574</t>
  </si>
  <si>
    <t>Jason Hernandez</t>
  </si>
  <si>
    <t>B-26938</t>
  </si>
  <si>
    <t>Jacob Guzman</t>
  </si>
  <si>
    <t>B-26379</t>
  </si>
  <si>
    <t>Mike Armstrong</t>
  </si>
  <si>
    <t>B-26623</t>
  </si>
  <si>
    <t>Cindy Rowland</t>
  </si>
  <si>
    <t>B-25566</t>
  </si>
  <si>
    <t>Susan Valdez</t>
  </si>
  <si>
    <t>B-26740</t>
  </si>
  <si>
    <t>Stephanie Manning</t>
  </si>
  <si>
    <t>B-25024</t>
  </si>
  <si>
    <t>Megan Pitts</t>
  </si>
  <si>
    <t>B-26367</t>
  </si>
  <si>
    <t>Richard Gardner</t>
  </si>
  <si>
    <t>B-26353</t>
  </si>
  <si>
    <t>Samuel Moore</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</si>
  <si>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</si>
  <si>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</si>
  <si>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</si>
  <si>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</si>
  <si>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</si>
  <si>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</si>
  <si>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</si>
  <si>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</si>
  <si>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</si>
  <si>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</si>
  <si>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</si>
  <si>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</si>
  <si>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</si>
  <si>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</si>
  <si>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</si>
  <si>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</si>
  <si>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</si>
  <si>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</si>
  <si>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</si>
  <si>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</si>
  <si>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</si>
  <si>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</si>
  <si>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</si>
  <si>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</si>
  <si>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</si>
  <si>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</si>
  <si>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</si>
  <si>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</si>
  <si>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</si>
  <si>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</si>
  <si>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</si>
  <si>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</si>
  <si>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</si>
  <si>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</si>
  <si>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</si>
  <si>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</si>
  <si>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</si>
  <si>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</si>
  <si>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</si>
  <si>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</si>
  <si>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</si>
  <si>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</si>
  <si>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</si>
  <si>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</si>
  <si>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</si>
  <si>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</si>
  <si>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B-26643</t>
  </si>
  <si>
    <t>John Williams</t>
  </si>
  <si>
    <t>B-25992</t>
  </si>
  <si>
    <t>Rebecca Huff</t>
  </si>
  <si>
    <t>B-25532</t>
  </si>
  <si>
    <t>Brian Young</t>
  </si>
  <si>
    <t>B-25564</t>
  </si>
  <si>
    <t>Zachary Pierce</t>
  </si>
  <si>
    <t>B-26543</t>
  </si>
  <si>
    <t>Nicolas Owen</t>
  </si>
  <si>
    <t>B-25976</t>
  </si>
  <si>
    <t>Martha Carney</t>
  </si>
  <si>
    <t>B-25929</t>
  </si>
  <si>
    <t>Matthew Parker</t>
  </si>
  <si>
    <t>B-25497</t>
  </si>
  <si>
    <t>Paul Bryant</t>
  </si>
  <si>
    <t>B-26735</t>
  </si>
  <si>
    <t>Bruce Dennis</t>
  </si>
  <si>
    <t>B-25036</t>
  </si>
  <si>
    <t>Joseph Bates</t>
  </si>
  <si>
    <t>B-25971</t>
  </si>
  <si>
    <t>Kelly Pacheco</t>
  </si>
  <si>
    <t>B-25441</t>
  </si>
  <si>
    <t>Jeffrey Weber</t>
  </si>
  <si>
    <t>B-25823</t>
  </si>
  <si>
    <t>Kathleen Cox</t>
  </si>
  <si>
    <t>B-25363</t>
  </si>
  <si>
    <t>Robert Martinez</t>
  </si>
  <si>
    <t>B-26445</t>
  </si>
  <si>
    <t>Christopher Rogers</t>
  </si>
  <si>
    <t>B-26724</t>
  </si>
  <si>
    <t>Roberto Parrish</t>
  </si>
  <si>
    <t>B-25447</t>
  </si>
  <si>
    <t>Amber Kennedy</t>
  </si>
  <si>
    <t>B-26904</t>
  </si>
  <si>
    <t>Terry Gilbert</t>
  </si>
  <si>
    <t>B-26456</t>
  </si>
  <si>
    <t>Robert Mosley</t>
  </si>
  <si>
    <t>B-25435</t>
  </si>
  <si>
    <t>Paul Scott</t>
  </si>
  <si>
    <t>B-26279</t>
  </si>
  <si>
    <t>Mrs. Lauren Potter DDS</t>
  </si>
  <si>
    <t>B-25770</t>
  </si>
  <si>
    <t>James Taylor</t>
  </si>
  <si>
    <t>B-25715</t>
  </si>
  <si>
    <t>Shelby Browning</t>
  </si>
  <si>
    <t>B-26961</t>
  </si>
  <si>
    <t>Nicholas Tucker</t>
  </si>
  <si>
    <t>B-25902</t>
  </si>
  <si>
    <t>Theresa Cline</t>
  </si>
  <si>
    <t>B-26321</t>
  </si>
  <si>
    <t>Christine Wheeler</t>
  </si>
  <si>
    <t>B-25612</t>
  </si>
  <si>
    <t>Carlos Wells</t>
  </si>
  <si>
    <t>B-25605</t>
  </si>
  <si>
    <t>Randall Bell</t>
  </si>
  <si>
    <t>B-25810</t>
  </si>
  <si>
    <t>Kendra Mckinney</t>
  </si>
  <si>
    <t>B-25935</t>
  </si>
  <si>
    <t>Amanda Kim</t>
  </si>
  <si>
    <t>B-26245</t>
  </si>
  <si>
    <t>Vincent Kramer</t>
  </si>
  <si>
    <t>B-25346</t>
  </si>
  <si>
    <t>Reginald Hebert</t>
  </si>
  <si>
    <t>B-25594</t>
  </si>
  <si>
    <t>Michael Stewart</t>
  </si>
  <si>
    <t>B-25471</t>
  </si>
  <si>
    <t>Tara Hughes</t>
  </si>
  <si>
    <t>B-25398</t>
  </si>
  <si>
    <t>Sandra Perkins</t>
  </si>
  <si>
    <t>B-25999</t>
  </si>
  <si>
    <t>Raymond Reyes</t>
  </si>
  <si>
    <t>B-25159</t>
  </si>
  <si>
    <t>Shannon Maynard</t>
  </si>
  <si>
    <t>B-25496</t>
  </si>
  <si>
    <t>Maria Carroll</t>
  </si>
  <si>
    <t>B-25401</t>
  </si>
  <si>
    <t>Scott Craig</t>
  </si>
  <si>
    <t>B-25707</t>
  </si>
  <si>
    <t>Kaitlin Brown</t>
  </si>
  <si>
    <t>B-26225</t>
  </si>
  <si>
    <t>William Beck</t>
  </si>
  <si>
    <t>B-25662</t>
  </si>
  <si>
    <t>Lisa Lowe</t>
  </si>
  <si>
    <t>B-26752</t>
  </si>
  <si>
    <t>Roy Miller</t>
  </si>
  <si>
    <t>B-25640</t>
  </si>
  <si>
    <t>Claire Cole</t>
  </si>
  <si>
    <t>B-25030</t>
  </si>
  <si>
    <t>Eric Nunez</t>
  </si>
  <si>
    <t>B-25504</t>
  </si>
  <si>
    <t>David Bell</t>
  </si>
  <si>
    <t>B-26912</t>
  </si>
  <si>
    <t>Patrick Hensley MD</t>
  </si>
  <si>
    <t>B-25193</t>
  </si>
  <si>
    <t>Angela Todd</t>
  </si>
  <si>
    <t>B-25106</t>
  </si>
  <si>
    <t>Luke Saunders</t>
  </si>
  <si>
    <t>B-26835</t>
  </si>
  <si>
    <t>Keith Smith</t>
  </si>
  <si>
    <t>B-25836</t>
  </si>
  <si>
    <t>Jesus Hernandez</t>
  </si>
  <si>
    <t>B-26661</t>
  </si>
  <si>
    <t>Jason Norman</t>
  </si>
  <si>
    <t>B-26317</t>
  </si>
  <si>
    <t>Laura Poole</t>
  </si>
  <si>
    <t>B-26839</t>
  </si>
  <si>
    <t>Sarah Wagner</t>
  </si>
  <si>
    <t>B-25735</t>
  </si>
  <si>
    <t>Bryan Baird</t>
  </si>
  <si>
    <t>B-25387</t>
  </si>
  <si>
    <t>Amy Thompson</t>
  </si>
  <si>
    <t>B-25192</t>
  </si>
  <si>
    <t>Ashley Wright</t>
  </si>
  <si>
    <t>B-26844</t>
  </si>
  <si>
    <t>Ryan Hale</t>
  </si>
  <si>
    <t>B-25236</t>
  </si>
  <si>
    <t>Vanessa Smith</t>
  </si>
  <si>
    <t>B-25940</t>
  </si>
  <si>
    <t>Ryan Foster</t>
  </si>
  <si>
    <t>B-26765</t>
  </si>
  <si>
    <t>Jonathan Young</t>
  </si>
  <si>
    <t>B-26817</t>
  </si>
  <si>
    <t>Debra Townsend</t>
  </si>
  <si>
    <t>B-26522</t>
  </si>
  <si>
    <t>Sarah Miller</t>
  </si>
  <si>
    <t>B-25681</t>
  </si>
  <si>
    <t>Robert Hill</t>
  </si>
  <si>
    <t>B-25382</t>
  </si>
  <si>
    <t>Joshua Rojas</t>
  </si>
  <si>
    <t>B-25944</t>
  </si>
  <si>
    <t>Jessica Russell</t>
  </si>
  <si>
    <t>B-26980</t>
  </si>
  <si>
    <t>Mary Johnson</t>
  </si>
  <si>
    <t>B-25780</t>
  </si>
  <si>
    <t>Jessica Greene</t>
  </si>
  <si>
    <t>B-25964</t>
  </si>
  <si>
    <t>Vincent Perez</t>
  </si>
  <si>
    <t>B-26767</t>
  </si>
  <si>
    <t>Nancy Keller</t>
  </si>
  <si>
    <t>B-25501</t>
  </si>
  <si>
    <t>Michelle Anderson</t>
  </si>
  <si>
    <t>B-26029</t>
  </si>
  <si>
    <t>Anthony May</t>
  </si>
  <si>
    <t>B-25292</t>
  </si>
  <si>
    <t>Michelle Guerra</t>
  </si>
  <si>
    <t>B-25873</t>
  </si>
  <si>
    <t>William Rosario</t>
  </si>
  <si>
    <t>B-25444</t>
  </si>
  <si>
    <t>Tony Chavez</t>
  </si>
  <si>
    <t>B-26796</t>
  </si>
  <si>
    <t>Mary Crawford</t>
  </si>
  <si>
    <t>B-25537</t>
  </si>
  <si>
    <t>Roger Morrison</t>
  </si>
  <si>
    <t>B-26083</t>
  </si>
  <si>
    <t>Bethany Harrison</t>
  </si>
  <si>
    <t>B-25298</t>
  </si>
  <si>
    <t>Lisa Mcintyre</t>
  </si>
  <si>
    <t>B-26734</t>
  </si>
  <si>
    <t>Shawn Wise</t>
  </si>
  <si>
    <t>B-25483</t>
  </si>
  <si>
    <t>Carrie Alvarez</t>
  </si>
  <si>
    <t>B-26041</t>
  </si>
  <si>
    <t>Matthew James</t>
  </si>
  <si>
    <t>B-26750</t>
  </si>
  <si>
    <t>Paul Zimmerman</t>
  </si>
  <si>
    <t>B-26138</t>
  </si>
  <si>
    <t>Carl Ryan</t>
  </si>
  <si>
    <t>B-26929</t>
  </si>
  <si>
    <t>Kelly Roberts</t>
  </si>
  <si>
    <t>B-25359</t>
  </si>
  <si>
    <t>Jack Woods</t>
  </si>
  <si>
    <t>B-25738</t>
  </si>
  <si>
    <t>Teresa Perez</t>
  </si>
  <si>
    <t>B-25931</t>
  </si>
  <si>
    <t>Amanda Williams</t>
  </si>
  <si>
    <t>B-25706</t>
  </si>
  <si>
    <t>Kristen Lawson</t>
  </si>
  <si>
    <t>B-25352</t>
  </si>
  <si>
    <t>Jacob Stewart</t>
  </si>
  <si>
    <t>B-26909</t>
  </si>
  <si>
    <t>Daniel Brooks</t>
  </si>
  <si>
    <t>B-26296</t>
  </si>
  <si>
    <t>Aaron Dunn</t>
  </si>
  <si>
    <t>B-26112</t>
  </si>
  <si>
    <t>Raymond Burgess</t>
  </si>
  <si>
    <t>B-26790</t>
  </si>
  <si>
    <t>Jennifer Cooke</t>
  </si>
  <si>
    <t>B-25986</t>
  </si>
  <si>
    <t>Tyrone White</t>
  </si>
  <si>
    <t>B-25630</t>
  </si>
  <si>
    <t>Charles Williams</t>
  </si>
  <si>
    <t>B-26872</t>
  </si>
  <si>
    <t>Scott Gibbs</t>
  </si>
  <si>
    <t>B-25870</t>
  </si>
  <si>
    <t>Angela Roberts</t>
  </si>
  <si>
    <t>B-25991</t>
  </si>
  <si>
    <t>Kyle Hernandez</t>
  </si>
  <si>
    <t>B-25198</t>
  </si>
  <si>
    <t>Cynthia Ferguson</t>
  </si>
  <si>
    <t>B-25189</t>
  </si>
  <si>
    <t>Matthew Blake</t>
  </si>
  <si>
    <t>B-26563</t>
  </si>
  <si>
    <t>Lauren Howell</t>
  </si>
  <si>
    <t>B-25548</t>
  </si>
  <si>
    <t>Joseph Wilson</t>
  </si>
  <si>
    <t>B-25965</t>
  </si>
  <si>
    <t>Tanner Vance</t>
  </si>
  <si>
    <t>B-26545</t>
  </si>
  <si>
    <t>Brent Thomas</t>
  </si>
  <si>
    <t>B-26603</t>
  </si>
  <si>
    <t>Harold Mitchell</t>
  </si>
  <si>
    <t>B-26393</t>
  </si>
  <si>
    <t>Stephen Hogan</t>
  </si>
  <si>
    <t>B-26628</t>
  </si>
  <si>
    <t>Sara Bailey</t>
  </si>
  <si>
    <t>B-25945</t>
  </si>
  <si>
    <t>Tanya Thomas MD</t>
  </si>
  <si>
    <t>B-26565</t>
  </si>
  <si>
    <t>Maria Galvan</t>
  </si>
  <si>
    <t>B-25684</t>
  </si>
  <si>
    <t>Frank Reynolds</t>
  </si>
  <si>
    <t>B-26612</t>
  </si>
  <si>
    <t>Aaron Kim</t>
  </si>
  <si>
    <t>B-25839</t>
  </si>
  <si>
    <t>David Allen</t>
  </si>
  <si>
    <t>B-25898</t>
  </si>
  <si>
    <t>Monica Lee</t>
  </si>
  <si>
    <t>B-26120</t>
  </si>
  <si>
    <t>B-26426</t>
  </si>
  <si>
    <t>Melissa Mitchell</t>
  </si>
  <si>
    <t>B-26309</t>
  </si>
  <si>
    <t>Joshua Murray</t>
  </si>
  <si>
    <t>B-26789</t>
  </si>
  <si>
    <t>Cheryl Johnson</t>
  </si>
  <si>
    <t>B-26420</t>
  </si>
  <si>
    <t>Lisa Farmer</t>
  </si>
  <si>
    <t>B-26257</t>
  </si>
  <si>
    <t>Joseph Clark</t>
  </si>
  <si>
    <t>B-25603</t>
  </si>
  <si>
    <t>Lauren Boyer</t>
  </si>
  <si>
    <t>B-25010</t>
  </si>
  <si>
    <t>James Hickman</t>
  </si>
  <si>
    <t>B-25889</t>
  </si>
  <si>
    <t>Shannon Warren</t>
  </si>
  <si>
    <t>B-26675</t>
  </si>
  <si>
    <t>James Perez</t>
  </si>
  <si>
    <t>B-26168</t>
  </si>
  <si>
    <t>Jerry Smith</t>
  </si>
  <si>
    <t>B-25436</t>
  </si>
  <si>
    <t>Anthony West</t>
  </si>
  <si>
    <t>B-25794</t>
  </si>
  <si>
    <t>Amber Flowers</t>
  </si>
  <si>
    <t>B-26495</t>
  </si>
  <si>
    <t>Patricia Davis</t>
  </si>
  <si>
    <t>B-25815</t>
  </si>
  <si>
    <t>Jasmine Gibbs</t>
  </si>
  <si>
    <t>B-25022</t>
  </si>
  <si>
    <t>Nicole Dudley</t>
  </si>
  <si>
    <t>B-26928</t>
  </si>
  <si>
    <t>William Carr</t>
  </si>
  <si>
    <t>B-25905</t>
  </si>
  <si>
    <t>Jeffrey Dixon</t>
  </si>
  <si>
    <t>B-26739</t>
  </si>
  <si>
    <t>Robert Sexton</t>
  </si>
  <si>
    <t>B-25697</t>
  </si>
  <si>
    <t>Victoria Bryant MD</t>
  </si>
  <si>
    <t>B-25234</t>
  </si>
  <si>
    <t>Nancy Kennedy</t>
  </si>
  <si>
    <t>B-25665</t>
  </si>
  <si>
    <t>Isabella Roach</t>
  </si>
  <si>
    <t>B-25028</t>
  </si>
  <si>
    <t>Samantha Williams</t>
  </si>
  <si>
    <t>B-26659</t>
  </si>
  <si>
    <t>Samuel Little MD</t>
  </si>
  <si>
    <t>B-25966</t>
  </si>
  <si>
    <t>Susan Baker</t>
  </si>
  <si>
    <t>B-25350</t>
  </si>
  <si>
    <t>Mark Fry</t>
  </si>
  <si>
    <t>B-26370</t>
  </si>
  <si>
    <t>Megan Mclean</t>
  </si>
  <si>
    <t>B-26298</t>
  </si>
  <si>
    <t>Stephanie Oconnell</t>
  </si>
  <si>
    <t>B-25068</t>
  </si>
  <si>
    <t>Andrea Hill</t>
  </si>
  <si>
    <t>Customer Name</t>
  </si>
  <si>
    <t>Total Sales</t>
  </si>
  <si>
    <t>Total Profit</t>
  </si>
  <si>
    <t>Row Labels</t>
  </si>
  <si>
    <t>Grand Total</t>
  </si>
  <si>
    <t>Sum of Amount</t>
  </si>
  <si>
    <t>Jan</t>
  </si>
  <si>
    <t>Feb</t>
  </si>
  <si>
    <t>Mar</t>
  </si>
  <si>
    <t>Apr</t>
  </si>
  <si>
    <t>May</t>
  </si>
  <si>
    <t>Jun</t>
  </si>
  <si>
    <t>Jul</t>
  </si>
  <si>
    <t>Aug</t>
  </si>
  <si>
    <t>Sep</t>
  </si>
  <si>
    <t>Oct</t>
  </si>
  <si>
    <t>Nov</t>
  </si>
  <si>
    <t>Dec</t>
  </si>
  <si>
    <t>Sum of Total Profit</t>
  </si>
  <si>
    <t>total customers</t>
  </si>
  <si>
    <t>Sum of Total Sales</t>
  </si>
  <si>
    <t>Total Orders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</si>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</sst>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theme="9"/>
      </top>
      <bottom style="thin">
        <color theme="9" tint="0.39997558519241921"/>
      </bottom>
      <diagonal/>
    </border>
    <border>
      <left/>
      <right style="thin">
        <color theme="9" tint="0.39997558519241921"/>
      </right>
      <top style="double">
        <color theme="9"/>
      </top>
      <bottom style="thin">
        <color theme="9" tint="0.39997558519241921"/>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6" fillId="0" borderId="10" xfId="0" applyFont="1" applyBorder="1"/>
    <xf numFmtId="0" fontId="16" fillId="0" borderId="11" xfId="0" applyFont="1" applyBorder="1"/>
    <xf numFmtId="10" fontId="0" fillId="0" borderId="0" xfId="0" applyNumberFormat="1"/>
    <xf numFmtId="0" fontId="16" fillId="33" borderId="12"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s>
  <tableStyles count="0" defaultTableStyle="TableStyleMedium2" defaultPivotStyle="PivotStyleLight16"/>
  <colors>
    <mruColors>
      <color rgb="FF4AB81E"/>
      <color rgb="FFFC10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Table!City</c:name>
    <c:fmtId val="3"/>
  </c:pivotSource>
  <c:chart>
    <c:title>
      <c:tx>
        <c:rich>
          <a:bodyPr rot="0" spcFirstLastPara="1" vertOverflow="ellipsis" vert="horz" wrap="square" anchor="ctr" anchorCtr="1"/>
          <a:lstStyle/>
          <a:p>
            <a:pPr>
              <a:defRPr sz="960" b="1" i="0" u="none" strike="noStrike" kern="1200" spc="0" baseline="0">
                <a:ln>
                  <a:noFill/>
                </a:ln>
                <a:solidFill>
                  <a:schemeClr val="tx1"/>
                </a:solidFill>
                <a:latin typeface="+mn-lt"/>
                <a:ea typeface="+mn-ea"/>
                <a:cs typeface="+mn-cs"/>
              </a:defRPr>
            </a:pPr>
            <a:r>
              <a:rPr lang="en-US" sz="1600">
                <a:solidFill>
                  <a:srgbClr val="C00000"/>
                </a:solidFill>
              </a:rPr>
              <a:t>Top Sales By city</a:t>
            </a:r>
          </a:p>
        </c:rich>
      </c:tx>
      <c:overlay val="0"/>
      <c:spPr>
        <a:noFill/>
        <a:ln>
          <a:noFill/>
        </a:ln>
        <a:effectLst/>
      </c:spPr>
      <c:txPr>
        <a:bodyPr rot="0" spcFirstLastPara="1" vertOverflow="ellipsis" vert="horz" wrap="square" anchor="ctr" anchorCtr="1"/>
        <a:lstStyle/>
        <a:p>
          <a:pPr>
            <a:defRPr sz="96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ln>
                    <a:noFill/>
                  </a:ln>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68111866973801E-2"/>
          <c:y val="0.21070428105707981"/>
          <c:w val="0.94901386833355894"/>
          <c:h val="0.52554481878616066"/>
        </c:manualLayout>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800" b="1" i="0" u="none" strike="noStrike" kern="1200" baseline="0">
                    <a:ln>
                      <a:noFill/>
                    </a:ln>
                    <a:solidFill>
                      <a:schemeClr val="bg2">
                        <a:lumMod val="1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Houston</c:v>
                </c:pt>
                <c:pt idx="1">
                  <c:v>Miami</c:v>
                </c:pt>
                <c:pt idx="2">
                  <c:v>New York City</c:v>
                </c:pt>
                <c:pt idx="3">
                  <c:v>Orlando</c:v>
                </c:pt>
                <c:pt idx="4">
                  <c:v>Peoria</c:v>
                </c:pt>
                <c:pt idx="5">
                  <c:v>Rochester</c:v>
                </c:pt>
                <c:pt idx="6">
                  <c:v>San Diego</c:v>
                </c:pt>
                <c:pt idx="7">
                  <c:v>San Francisco</c:v>
                </c:pt>
                <c:pt idx="8">
                  <c:v>Springfield</c:v>
                </c:pt>
                <c:pt idx="9">
                  <c:v>Tampa</c:v>
                </c:pt>
              </c:strCache>
            </c:strRef>
          </c:cat>
          <c:val>
            <c:numRef>
              <c:f>'Pivot Table'!$B$4:$B$14</c:f>
              <c:numCache>
                <c:formatCode>#,##0</c:formatCode>
                <c:ptCount val="10"/>
                <c:pt idx="0">
                  <c:v>139595</c:v>
                </c:pt>
                <c:pt idx="1">
                  <c:v>197760</c:v>
                </c:pt>
                <c:pt idx="2">
                  <c:v>191766</c:v>
                </c:pt>
                <c:pt idx="3">
                  <c:v>200688</c:v>
                </c:pt>
                <c:pt idx="4">
                  <c:v>177729</c:v>
                </c:pt>
                <c:pt idx="5">
                  <c:v>217245</c:v>
                </c:pt>
                <c:pt idx="6">
                  <c:v>227167</c:v>
                </c:pt>
                <c:pt idx="7">
                  <c:v>245834</c:v>
                </c:pt>
                <c:pt idx="8">
                  <c:v>251327</c:v>
                </c:pt>
                <c:pt idx="9">
                  <c:v>203448</c:v>
                </c:pt>
              </c:numCache>
            </c:numRef>
          </c:val>
          <c:smooth val="0"/>
          <c:extLst>
            <c:ext xmlns:c16="http://schemas.microsoft.com/office/drawing/2014/chart" uri="{C3380CC4-5D6E-409C-BE32-E72D297353CC}">
              <c16:uniqueId val="{00000000-DF6B-432D-A40D-5CB159EC210C}"/>
            </c:ext>
          </c:extLst>
        </c:ser>
        <c:dLbls>
          <c:dLblPos val="t"/>
          <c:showLegendKey val="0"/>
          <c:showVal val="1"/>
          <c:showCatName val="0"/>
          <c:showSerName val="0"/>
          <c:showPercent val="0"/>
          <c:showBubbleSize val="0"/>
        </c:dLbls>
        <c:smooth val="0"/>
        <c:axId val="1449704335"/>
        <c:axId val="1449709615"/>
      </c:lineChart>
      <c:dateAx>
        <c:axId val="1449704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1" u="none" strike="noStrike" kern="1200" baseline="0">
                <a:ln>
                  <a:noFill/>
                </a:ln>
                <a:solidFill>
                  <a:schemeClr val="tx1"/>
                </a:solidFill>
                <a:latin typeface="+mn-lt"/>
                <a:ea typeface="+mn-ea"/>
                <a:cs typeface="+mn-cs"/>
              </a:defRPr>
            </a:pPr>
            <a:endParaRPr lang="en-US"/>
          </a:p>
        </c:txPr>
        <c:crossAx val="1449709615"/>
        <c:crosses val="autoZero"/>
        <c:auto val="0"/>
        <c:lblOffset val="100"/>
        <c:baseTimeUnit val="days"/>
      </c:dateAx>
      <c:valAx>
        <c:axId val="1449709615"/>
        <c:scaling>
          <c:orientation val="minMax"/>
        </c:scaling>
        <c:delete val="1"/>
        <c:axPos val="l"/>
        <c:numFmt formatCode="#,##0" sourceLinked="1"/>
        <c:majorTickMark val="out"/>
        <c:minorTickMark val="none"/>
        <c:tickLblPos val="nextTo"/>
        <c:crossAx val="144970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c:spPr>
  <c:txPr>
    <a:bodyPr rot="0" vert="horz"/>
    <a:lstStyle/>
    <a:p>
      <a:pPr>
        <a:defRPr sz="800" b="1" i="0" baseline="0">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project.xlsx]Pivot Table!Ctegory</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a:t>
            </a:r>
            <a:r>
              <a:rPr lang="en-US">
                <a:solidFill>
                  <a:srgbClr val="C00000"/>
                </a:solidFill>
              </a:rPr>
              <a:t>Sales By Category</a:t>
            </a:r>
          </a:p>
        </c:rich>
      </c:tx>
      <c:layout>
        <c:manualLayout>
          <c:xMode val="edge"/>
          <c:yMode val="edge"/>
          <c:x val="0.37489918410257439"/>
          <c:y val="2.82736383571606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03324621464298E-2"/>
          <c:y val="0.17354440505162116"/>
          <c:w val="0.95296296296296301"/>
          <c:h val="0.69656944444444446"/>
        </c:manualLayout>
      </c:layout>
      <c:barChart>
        <c:barDir val="col"/>
        <c:grouping val="clustered"/>
        <c:varyColors val="0"/>
        <c:ser>
          <c:idx val="0"/>
          <c:order val="0"/>
          <c:tx>
            <c:strRef>
              <c:f>'Pivot Table'!$H$10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Table'!$G$11:$G$14</c:f>
              <c:strCache>
                <c:ptCount val="3"/>
                <c:pt idx="0">
                  <c:v>Electronics</c:v>
                </c:pt>
                <c:pt idx="1">
                  <c:v>Furniture</c:v>
                </c:pt>
                <c:pt idx="2">
                  <c:v>Office Supplies</c:v>
                </c:pt>
              </c:strCache>
            </c:strRef>
          </c:cat>
          <c:val>
            <c:numRef>
              <c:f>'Pivot Table'!$H$11:$H$14</c:f>
              <c:numCache>
                <c:formatCode>General</c:formatCode>
                <c:ptCount val="3"/>
                <c:pt idx="0">
                  <c:v>680962</c:v>
                </c:pt>
                <c:pt idx="1">
                  <c:v>996472</c:v>
                </c:pt>
                <c:pt idx="2">
                  <c:v>1318838</c:v>
                </c:pt>
              </c:numCache>
            </c:numRef>
          </c:val>
          <c:extLst>
            <c:ext xmlns:c16="http://schemas.microsoft.com/office/drawing/2014/chart" uri="{C3380CC4-5D6E-409C-BE32-E72D297353CC}">
              <c16:uniqueId val="{00000000-6292-4EE7-9503-E26D7D77BD32}"/>
            </c:ext>
          </c:extLst>
        </c:ser>
        <c:dLbls>
          <c:dLblPos val="outEnd"/>
          <c:showLegendKey val="0"/>
          <c:showVal val="1"/>
          <c:showCatName val="0"/>
          <c:showSerName val="0"/>
          <c:showPercent val="0"/>
          <c:showBubbleSize val="0"/>
        </c:dLbls>
        <c:gapWidth val="100"/>
        <c:overlap val="-24"/>
        <c:axId val="1449720655"/>
        <c:axId val="1449724975"/>
      </c:barChart>
      <c:catAx>
        <c:axId val="14497206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1449724975"/>
        <c:crosses val="autoZero"/>
        <c:auto val="1"/>
        <c:lblAlgn val="ctr"/>
        <c:lblOffset val="100"/>
        <c:noMultiLvlLbl val="0"/>
      </c:catAx>
      <c:valAx>
        <c:axId val="1449724975"/>
        <c:scaling>
          <c:orientation val="minMax"/>
        </c:scaling>
        <c:delete val="1"/>
        <c:axPos val="l"/>
        <c:numFmt formatCode="General" sourceLinked="1"/>
        <c:majorTickMark val="out"/>
        <c:minorTickMark val="none"/>
        <c:tickLblPos val="nextTo"/>
        <c:crossAx val="144972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project.xlsx]Pivot Table!Customer</c:name>
    <c:fmtId val="5"/>
  </c:pivotSource>
  <c:chart>
    <c:title>
      <c:tx>
        <c:rich>
          <a:bodyPr rot="0" spcFirstLastPara="1" vertOverflow="ellipsis" vert="horz" wrap="square" anchor="ctr" anchorCtr="1"/>
          <a:lstStyle/>
          <a:p>
            <a:pPr algn="ctr" rtl="0">
              <a:defRPr lang="en-IN" sz="2400" b="1" i="1" u="none" strike="noStrike" kern="1200" spc="0" baseline="0">
                <a:solidFill>
                  <a:srgbClr val="C00000"/>
                </a:solidFill>
                <a:latin typeface="+mn-lt"/>
                <a:ea typeface="+mn-ea"/>
                <a:cs typeface="+mn-cs"/>
              </a:defRPr>
            </a:pPr>
            <a:r>
              <a:rPr lang="en-IN" sz="1800" b="1" i="1" u="none" strike="noStrike" kern="1200" spc="0" baseline="0">
                <a:solidFill>
                  <a:srgbClr val="C00000"/>
                </a:solidFill>
                <a:latin typeface="+mn-lt"/>
                <a:ea typeface="+mn-ea"/>
                <a:cs typeface="+mn-cs"/>
              </a:rPr>
              <a:t>TOP 10 Customers By Sale</a:t>
            </a:r>
          </a:p>
        </c:rich>
      </c:tx>
      <c:layout>
        <c:manualLayout>
          <c:xMode val="edge"/>
          <c:yMode val="edge"/>
          <c:x val="0.29197523519426333"/>
          <c:y val="2.1504949242591949E-2"/>
        </c:manualLayout>
      </c:layout>
      <c:overlay val="0"/>
      <c:spPr>
        <a:noFill/>
        <a:ln>
          <a:noFill/>
        </a:ln>
        <a:effectLst/>
      </c:spPr>
      <c:txPr>
        <a:bodyPr rot="0" spcFirstLastPara="1" vertOverflow="ellipsis" vert="horz" wrap="square" anchor="ctr" anchorCtr="1"/>
        <a:lstStyle/>
        <a:p>
          <a:pPr algn="ctr" rtl="0">
            <a:defRPr lang="en-IN" sz="2400" b="1" i="1" u="none" strike="noStrike" kern="1200" spc="0" baseline="0">
              <a:solidFill>
                <a:srgbClr val="C00000"/>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23989260037646"/>
          <c:y val="9.2330022339293785E-2"/>
          <c:w val="0.66002721071569137"/>
          <c:h val="0.90680231135968858"/>
        </c:manualLayout>
      </c:layout>
      <c:barChart>
        <c:barDir val="bar"/>
        <c:grouping val="clustered"/>
        <c:varyColors val="0"/>
        <c:ser>
          <c:idx val="0"/>
          <c:order val="0"/>
          <c:tx>
            <c:strRef>
              <c:f>'Pivot Table'!$N$11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Table'!$M$12:$M$22</c:f>
              <c:strCache>
                <c:ptCount val="10"/>
                <c:pt idx="0">
                  <c:v>Anthony Barnett</c:v>
                </c:pt>
                <c:pt idx="1">
                  <c:v>Debra Richards</c:v>
                </c:pt>
                <c:pt idx="2">
                  <c:v>Jacqueline Harris</c:v>
                </c:pt>
                <c:pt idx="3">
                  <c:v>James Taylor</c:v>
                </c:pt>
                <c:pt idx="4">
                  <c:v>Megan Pitts</c:v>
                </c:pt>
                <c:pt idx="5">
                  <c:v>Megan Williams</c:v>
                </c:pt>
                <c:pt idx="6">
                  <c:v>Michelle Anderson</c:v>
                </c:pt>
                <c:pt idx="7">
                  <c:v>Nicole Warren</c:v>
                </c:pt>
                <c:pt idx="8">
                  <c:v>Roberto Parrish</c:v>
                </c:pt>
                <c:pt idx="9">
                  <c:v>Sara Bailey</c:v>
                </c:pt>
              </c:strCache>
            </c:strRef>
          </c:cat>
          <c:val>
            <c:numRef>
              <c:f>'Pivot Table'!$N$12:$N$22</c:f>
              <c:numCache>
                <c:formatCode>General</c:formatCode>
                <c:ptCount val="10"/>
                <c:pt idx="0">
                  <c:v>10943</c:v>
                </c:pt>
                <c:pt idx="1">
                  <c:v>12264</c:v>
                </c:pt>
                <c:pt idx="2">
                  <c:v>10809</c:v>
                </c:pt>
                <c:pt idx="3">
                  <c:v>10853</c:v>
                </c:pt>
                <c:pt idx="4">
                  <c:v>11100</c:v>
                </c:pt>
                <c:pt idx="5">
                  <c:v>13125</c:v>
                </c:pt>
                <c:pt idx="6">
                  <c:v>10848</c:v>
                </c:pt>
                <c:pt idx="7">
                  <c:v>10866</c:v>
                </c:pt>
                <c:pt idx="8">
                  <c:v>14055</c:v>
                </c:pt>
                <c:pt idx="9">
                  <c:v>11055</c:v>
                </c:pt>
              </c:numCache>
            </c:numRef>
          </c:val>
          <c:extLst>
            <c:ext xmlns:c16="http://schemas.microsoft.com/office/drawing/2014/chart" uri="{C3380CC4-5D6E-409C-BE32-E72D297353CC}">
              <c16:uniqueId val="{00000000-5F8A-4B4B-BB65-E5BE49C675D6}"/>
            </c:ext>
          </c:extLst>
        </c:ser>
        <c:dLbls>
          <c:dLblPos val="outEnd"/>
          <c:showLegendKey val="0"/>
          <c:showVal val="1"/>
          <c:showCatName val="0"/>
          <c:showSerName val="0"/>
          <c:showPercent val="0"/>
          <c:showBubbleSize val="0"/>
        </c:dLbls>
        <c:gapWidth val="182"/>
        <c:axId val="1322826255"/>
        <c:axId val="1322826735"/>
      </c:barChart>
      <c:catAx>
        <c:axId val="1322826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1322826735"/>
        <c:crosses val="autoZero"/>
        <c:auto val="1"/>
        <c:lblAlgn val="ctr"/>
        <c:lblOffset val="100"/>
        <c:noMultiLvlLbl val="0"/>
      </c:catAx>
      <c:valAx>
        <c:axId val="1322826735"/>
        <c:scaling>
          <c:orientation val="minMax"/>
        </c:scaling>
        <c:delete val="1"/>
        <c:axPos val="b"/>
        <c:numFmt formatCode="General" sourceLinked="1"/>
        <c:majorTickMark val="none"/>
        <c:minorTickMark val="none"/>
        <c:tickLblPos val="nextTo"/>
        <c:crossAx val="132282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Table!Profit</c:name>
    <c:fmtId val="3"/>
  </c:pivotSource>
  <c:chart>
    <c:title>
      <c:tx>
        <c:rich>
          <a:bodyPr rot="0" spcFirstLastPara="1" vertOverflow="ellipsis" vert="horz" wrap="square" anchor="ctr" anchorCtr="1"/>
          <a:lstStyle/>
          <a:p>
            <a:pPr algn="ctr" rtl="0">
              <a:defRPr lang="en-US" sz="2400" b="1" i="1" u="none" strike="noStrike" kern="1200" spc="0" baseline="0">
                <a:solidFill>
                  <a:srgbClr val="C00000"/>
                </a:solidFill>
                <a:latin typeface="+mn-lt"/>
                <a:ea typeface="+mn-ea"/>
                <a:cs typeface="+mn-cs"/>
              </a:defRPr>
            </a:pPr>
            <a:r>
              <a:rPr lang="en-US" sz="1800" b="1" i="1" u="none" strike="noStrike" kern="1200" spc="0" baseline="0">
                <a:solidFill>
                  <a:srgbClr val="C00000"/>
                </a:solidFill>
                <a:latin typeface="+mn-lt"/>
                <a:ea typeface="+mn-ea"/>
                <a:cs typeface="+mn-cs"/>
              </a:rPr>
              <a:t>Profit By Category</a:t>
            </a:r>
          </a:p>
        </c:rich>
      </c:tx>
      <c:layout>
        <c:manualLayout>
          <c:xMode val="edge"/>
          <c:yMode val="edge"/>
          <c:x val="0.18338464409511532"/>
          <c:y val="2.7272729713021627E-2"/>
        </c:manualLayout>
      </c:layout>
      <c:overlay val="0"/>
      <c:spPr>
        <a:noFill/>
        <a:ln>
          <a:noFill/>
        </a:ln>
        <a:effectLst/>
      </c:spPr>
      <c:txPr>
        <a:bodyPr rot="0" spcFirstLastPara="1" vertOverflow="ellipsis" vert="horz" wrap="square" anchor="ctr" anchorCtr="1"/>
        <a:lstStyle/>
        <a:p>
          <a:pPr algn="ctr" rtl="0">
            <a:defRPr lang="en-US" sz="2400" b="1" i="1"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10" b="1" i="1"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s>
    <c:plotArea>
      <c:layout>
        <c:manualLayout>
          <c:layoutTarget val="inner"/>
          <c:xMode val="edge"/>
          <c:yMode val="edge"/>
          <c:x val="0.10964179658500371"/>
          <c:y val="0.19810013373453694"/>
          <c:w val="0.78857337292749319"/>
          <c:h val="0.71026969798283746"/>
        </c:manualLayout>
      </c:layout>
      <c:doughnutChart>
        <c:varyColors val="1"/>
        <c:ser>
          <c:idx val="0"/>
          <c:order val="0"/>
          <c:tx>
            <c:strRef>
              <c:f>'Pivot Table'!$L$30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73E-4891-BD71-78F237D816E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73E-4891-BD71-78F237D816E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E73E-4891-BD71-78F237D816E2}"/>
              </c:ext>
            </c:extLst>
          </c:dPt>
          <c:dLbls>
            <c:spPr>
              <a:noFill/>
              <a:ln>
                <a:noFill/>
              </a:ln>
              <a:effectLst/>
            </c:spPr>
            <c:txPr>
              <a:bodyPr rot="0" spcFirstLastPara="1" vertOverflow="clip" horzOverflow="clip" vert="horz" wrap="square" lIns="38100" tIns="19050" rIns="38100" bIns="19050" anchor="ctr" anchorCtr="1">
                <a:spAutoFit/>
              </a:bodyPr>
              <a:lstStyle/>
              <a:p>
                <a:pPr>
                  <a:defRPr sz="1010" b="1" i="1"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Table'!$K$31:$K$34</c:f>
              <c:strCache>
                <c:ptCount val="3"/>
                <c:pt idx="0">
                  <c:v>Electronics</c:v>
                </c:pt>
                <c:pt idx="1">
                  <c:v>Furniture</c:v>
                </c:pt>
                <c:pt idx="2">
                  <c:v>Office Supplies</c:v>
                </c:pt>
              </c:strCache>
            </c:strRef>
          </c:cat>
          <c:val>
            <c:numRef>
              <c:f>'Pivot Table'!$L$31:$L$34</c:f>
              <c:numCache>
                <c:formatCode>General</c:formatCode>
                <c:ptCount val="3"/>
                <c:pt idx="0">
                  <c:v>288371</c:v>
                </c:pt>
                <c:pt idx="1">
                  <c:v>548367</c:v>
                </c:pt>
                <c:pt idx="2">
                  <c:v>773959</c:v>
                </c:pt>
              </c:numCache>
            </c:numRef>
          </c:val>
          <c:extLst>
            <c:ext xmlns:c16="http://schemas.microsoft.com/office/drawing/2014/chart" uri="{C3380CC4-5D6E-409C-BE32-E72D297353CC}">
              <c16:uniqueId val="{00000006-E73E-4891-BD71-78F237D816E2}"/>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project.xlsx]Pivot Table!Months</c:name>
    <c:fmtId val="3"/>
  </c:pivotSource>
  <c:chart>
    <c:title>
      <c:tx>
        <c:rich>
          <a:bodyPr rot="0" spcFirstLastPara="1" vertOverflow="ellipsis" vert="horz" wrap="square" anchor="ctr" anchorCtr="1"/>
          <a:lstStyle/>
          <a:p>
            <a:pPr algn="ctr" rtl="0">
              <a:defRPr lang="en-US" sz="2400" b="1" i="1" u="none" strike="noStrike" kern="1200" spc="0" baseline="0">
                <a:solidFill>
                  <a:srgbClr val="C00000"/>
                </a:solidFill>
                <a:latin typeface="+mn-lt"/>
                <a:ea typeface="+mn-ea"/>
                <a:cs typeface="+mn-cs"/>
              </a:defRPr>
            </a:pPr>
            <a:r>
              <a:rPr lang="en-US" sz="1800" b="1" i="1" u="none" strike="noStrike" kern="1200" spc="0" baseline="0">
                <a:solidFill>
                  <a:srgbClr val="C00000"/>
                </a:solidFill>
                <a:latin typeface="+mn-lt"/>
                <a:ea typeface="+mn-ea"/>
                <a:cs typeface="+mn-cs"/>
              </a:rPr>
              <a:t>Month Wise Sales</a:t>
            </a:r>
          </a:p>
        </c:rich>
      </c:tx>
      <c:overlay val="0"/>
      <c:spPr>
        <a:noFill/>
        <a:ln>
          <a:noFill/>
        </a:ln>
        <a:effectLst/>
      </c:spPr>
      <c:txPr>
        <a:bodyPr rot="0" spcFirstLastPara="1" vertOverflow="ellipsis" vert="horz" wrap="square" anchor="ctr" anchorCtr="1"/>
        <a:lstStyle/>
        <a:p>
          <a:pPr algn="ctr" rtl="0">
            <a:defRPr lang="en-US" sz="2400" b="1" i="1"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11228067549281E-2"/>
          <c:y val="0.10950436235381474"/>
          <c:w val="0.95077095229188191"/>
          <c:h val="0.79333556900222812"/>
        </c:manualLayout>
      </c:layout>
      <c:areaChart>
        <c:grouping val="standard"/>
        <c:varyColors val="0"/>
        <c:ser>
          <c:idx val="0"/>
          <c:order val="0"/>
          <c:tx>
            <c:strRef>
              <c:f>'Pivot Table'!$H$24</c:f>
              <c:strCache>
                <c:ptCount val="1"/>
                <c:pt idx="0">
                  <c:v>Total</c:v>
                </c:pt>
              </c:strCache>
            </c:strRef>
          </c:tx>
          <c:spPr>
            <a:solidFill>
              <a:schemeClr val="accent1">
                <a:lumMod val="40000"/>
                <a:lumOff val="60000"/>
              </a:schemeClr>
            </a:solidFill>
            <a:ln>
              <a:noFill/>
            </a:ln>
            <a:effectLst/>
          </c:spPr>
          <c:dLbls>
            <c:spPr>
              <a:noFill/>
              <a:ln>
                <a:noFill/>
              </a:ln>
              <a:effectLst/>
            </c:spPr>
            <c:txPr>
              <a:bodyPr rot="0" spcFirstLastPara="1" vertOverflow="ellipsis" vert="horz" wrap="square" lIns="38100" tIns="19050" rIns="38100" bIns="19050" anchor="ctr" anchorCtr="0">
                <a:spAutoFit/>
              </a:bodyPr>
              <a:lstStyle/>
              <a:p>
                <a:pPr algn="ctr">
                  <a:defRPr lang="en-US" sz="9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Table'!$G$25:$G$37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Table'!$H$25:$H$37</c:f>
              <c:numCache>
                <c:formatCode>General</c:formatCode>
                <c:ptCount val="12"/>
                <c:pt idx="0">
                  <c:v>226874</c:v>
                </c:pt>
                <c:pt idx="1">
                  <c:v>224017</c:v>
                </c:pt>
                <c:pt idx="2">
                  <c:v>236332</c:v>
                </c:pt>
                <c:pt idx="3">
                  <c:v>246465</c:v>
                </c:pt>
                <c:pt idx="4">
                  <c:v>275745</c:v>
                </c:pt>
                <c:pt idx="5">
                  <c:v>215648</c:v>
                </c:pt>
                <c:pt idx="6">
                  <c:v>251254</c:v>
                </c:pt>
                <c:pt idx="7">
                  <c:v>311807</c:v>
                </c:pt>
                <c:pt idx="8">
                  <c:v>210127</c:v>
                </c:pt>
                <c:pt idx="9">
                  <c:v>310340</c:v>
                </c:pt>
                <c:pt idx="10">
                  <c:v>193698</c:v>
                </c:pt>
                <c:pt idx="11">
                  <c:v>293965</c:v>
                </c:pt>
              </c:numCache>
            </c:numRef>
          </c:val>
          <c:extLst>
            <c:ext xmlns:c16="http://schemas.microsoft.com/office/drawing/2014/chart" uri="{C3380CC4-5D6E-409C-BE32-E72D297353CC}">
              <c16:uniqueId val="{00000000-34B1-4810-ADA2-1B98C62F9C8A}"/>
            </c:ext>
          </c:extLst>
        </c:ser>
        <c:dLbls>
          <c:showLegendKey val="0"/>
          <c:showVal val="1"/>
          <c:showCatName val="0"/>
          <c:showSerName val="0"/>
          <c:showPercent val="0"/>
          <c:showBubbleSize val="0"/>
        </c:dLbls>
        <c:axId val="628831535"/>
        <c:axId val="628833455"/>
      </c:areaChart>
      <c:catAx>
        <c:axId val="62883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1">
                    <a:lumMod val="65000"/>
                    <a:lumOff val="35000"/>
                  </a:schemeClr>
                </a:solidFill>
                <a:latin typeface="+mn-lt"/>
                <a:ea typeface="+mn-ea"/>
                <a:cs typeface="+mn-cs"/>
              </a:defRPr>
            </a:pPr>
            <a:endParaRPr lang="en-US"/>
          </a:p>
        </c:txPr>
        <c:crossAx val="628833455"/>
        <c:crosses val="autoZero"/>
        <c:auto val="1"/>
        <c:lblAlgn val="ctr"/>
        <c:lblOffset val="100"/>
        <c:noMultiLvlLbl val="0"/>
      </c:catAx>
      <c:valAx>
        <c:axId val="628833455"/>
        <c:scaling>
          <c:orientation val="minMax"/>
        </c:scaling>
        <c:delete val="1"/>
        <c:axPos val="l"/>
        <c:numFmt formatCode="General" sourceLinked="1"/>
        <c:majorTickMark val="none"/>
        <c:minorTickMark val="none"/>
        <c:tickLblPos val="nextTo"/>
        <c:crossAx val="6288315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571500</xdr:colOff>
      <xdr:row>4</xdr:row>
      <xdr:rowOff>83820</xdr:rowOff>
    </xdr:from>
    <xdr:to>
      <xdr:col>15</xdr:col>
      <xdr:colOff>68580</xdr:colOff>
      <xdr:row>8</xdr:row>
      <xdr:rowOff>175260</xdr:rowOff>
    </xdr:to>
    <xdr:sp macro="" textlink="">
      <xdr:nvSpPr>
        <xdr:cNvPr id="2" name="Rectangle: Rounded Corners 1">
          <a:extLst>
            <a:ext uri="{FF2B5EF4-FFF2-40B4-BE49-F238E27FC236}">
              <a16:creationId xmlns:a16="http://schemas.microsoft.com/office/drawing/2014/main" id="{2E84A935-D9A4-8D52-8B83-66F6DFB6CCE2}"/>
            </a:ext>
          </a:extLst>
        </xdr:cNvPr>
        <xdr:cNvSpPr/>
      </xdr:nvSpPr>
      <xdr:spPr>
        <a:xfrm>
          <a:off x="8854440" y="815340"/>
          <a:ext cx="2545080" cy="822960"/>
        </a:xfrm>
        <a:prstGeom prst="roundRect">
          <a:avLst/>
        </a:prstGeom>
        <a:solidFill>
          <a:schemeClr val="accent4">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Total</a:t>
          </a:r>
          <a:r>
            <a:rPr lang="en-US" sz="1100"/>
            <a:t> </a:t>
          </a:r>
          <a:r>
            <a:rPr lang="en-US" sz="1100">
              <a:solidFill>
                <a:schemeClr val="tx1"/>
              </a:solidFill>
            </a:rPr>
            <a:t>Sales</a:t>
          </a:r>
          <a:r>
            <a:rPr lang="en-US" sz="1100" baseline="0">
              <a:solidFill>
                <a:schemeClr val="tx1"/>
              </a:solidFill>
            </a:rPr>
            <a:t> =</a:t>
          </a:r>
          <a:r>
            <a:rPr lang="en-IN" sz="1100" b="1" i="0" u="none" strike="noStrike">
              <a:solidFill>
                <a:schemeClr val="tx1"/>
              </a:solidFill>
              <a:effectLst/>
              <a:latin typeface="+mn-lt"/>
              <a:ea typeface="+mn-ea"/>
              <a:cs typeface="+mn-cs"/>
            </a:rPr>
            <a:t>68468254</a:t>
          </a:r>
          <a:endParaRPr lang="en-US"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487588</xdr:colOff>
      <xdr:row>4</xdr:row>
      <xdr:rowOff>179223</xdr:rowOff>
    </xdr:from>
    <xdr:to>
      <xdr:col>25</xdr:col>
      <xdr:colOff>82627</xdr:colOff>
      <xdr:row>14</xdr:row>
      <xdr:rowOff>82626</xdr:rowOff>
    </xdr:to>
    <xdr:graphicFrame macro="">
      <xdr:nvGraphicFramePr>
        <xdr:cNvPr id="2" name="Chart 1">
          <a:extLst>
            <a:ext uri="{FF2B5EF4-FFF2-40B4-BE49-F238E27FC236}">
              <a16:creationId xmlns:a16="http://schemas.microsoft.com/office/drawing/2014/main" id="{DB671309-3F04-4458-8C09-7EE32FCEB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114266</xdr:colOff>
      <xdr:row>5</xdr:row>
      <xdr:rowOff>142398</xdr:rowOff>
    </xdr:from>
    <xdr:to>
      <xdr:col>16</xdr:col>
      <xdr:colOff>432185</xdr:colOff>
      <xdr:row>20</xdr:row>
      <xdr:rowOff>43488</xdr:rowOff>
    </xdr:to>
    <xdr:graphicFrame macro="">
      <xdr:nvGraphicFramePr>
        <xdr:cNvPr id="3" name="Chart 2">
          <a:extLst>
            <a:ext uri="{FF2B5EF4-FFF2-40B4-BE49-F238E27FC236}">
              <a16:creationId xmlns:a16="http://schemas.microsoft.com/office/drawing/2014/main" id="{A6DF7701-69FA-4365-8EDD-008F3DD3F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511493</xdr:colOff>
      <xdr:row>14</xdr:row>
      <xdr:rowOff>142488</xdr:rowOff>
    </xdr:from>
    <xdr:to>
      <xdr:col>25</xdr:col>
      <xdr:colOff>67733</xdr:colOff>
      <xdr:row>35</xdr:row>
      <xdr:rowOff>183513</xdr:rowOff>
    </xdr:to>
    <xdr:graphicFrame macro="">
      <xdr:nvGraphicFramePr>
        <xdr:cNvPr id="4" name="Chart 3">
          <a:extLst>
            <a:ext uri="{FF2B5EF4-FFF2-40B4-BE49-F238E27FC236}">
              <a16:creationId xmlns:a16="http://schemas.microsoft.com/office/drawing/2014/main" id="{079F3FB2-61B9-46D1-8B8D-24C8BF71C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99193</xdr:colOff>
      <xdr:row>15</xdr:row>
      <xdr:rowOff>169334</xdr:rowOff>
    </xdr:from>
    <xdr:to>
      <xdr:col>6</xdr:col>
      <xdr:colOff>42527</xdr:colOff>
      <xdr:row>35</xdr:row>
      <xdr:rowOff>169334</xdr:rowOff>
    </xdr:to>
    <xdr:graphicFrame macro="">
      <xdr:nvGraphicFramePr>
        <xdr:cNvPr id="5" name="Chart 4">
          <a:extLst>
            <a:ext uri="{FF2B5EF4-FFF2-40B4-BE49-F238E27FC236}">
              <a16:creationId xmlns:a16="http://schemas.microsoft.com/office/drawing/2014/main" id="{AFA287DF-2263-48BC-836A-9F77AF7B7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116677</xdr:colOff>
      <xdr:row>6</xdr:row>
      <xdr:rowOff>22192</xdr:rowOff>
    </xdr:from>
    <xdr:to>
      <xdr:col>5</xdr:col>
      <xdr:colOff>601134</xdr:colOff>
      <xdr:row>15</xdr:row>
      <xdr:rowOff>59844</xdr:rowOff>
    </xdr:to>
    <mc:AlternateContent xmlns:mc="http://schemas.openxmlformats.org/markup-compatibility/2006">
      <mc:Choice xmlns:a14="http://schemas.microsoft.com/office/drawing/2010/main" Requires="a14">
        <xdr:graphicFrame macro="">
          <xdr:nvGraphicFramePr>
            <xdr:cNvPr id="6" name="Months (Order Date)">
              <a:extLst>
                <a:ext uri="{FF2B5EF4-FFF2-40B4-BE49-F238E27FC236}">
                  <a16:creationId xmlns:a16="http://schemas.microsoft.com/office/drawing/2014/main" id="{1C261381-593A-2355-0462-7CF15627A053}"/>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116677" y="1139792"/>
              <a:ext cx="3532457" cy="17140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97653</xdr:colOff>
      <xdr:row>20</xdr:row>
      <xdr:rowOff>99757</xdr:rowOff>
    </xdr:from>
    <xdr:to>
      <xdr:col>16</xdr:col>
      <xdr:colOff>414867</xdr:colOff>
      <xdr:row>35</xdr:row>
      <xdr:rowOff>160867</xdr:rowOff>
    </xdr:to>
    <xdr:graphicFrame macro="">
      <xdr:nvGraphicFramePr>
        <xdr:cNvPr id="7" name="Chart 6">
          <a:extLst>
            <a:ext uri="{FF2B5EF4-FFF2-40B4-BE49-F238E27FC236}">
              <a16:creationId xmlns:a16="http://schemas.microsoft.com/office/drawing/2014/main" id="{4DAC7955-B20F-417D-8461-8AF6B4B3A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63</xdr:col>
      <xdr:colOff>49270</xdr:colOff>
      <xdr:row>20</xdr:row>
      <xdr:rowOff>4887</xdr:rowOff>
    </xdr:from>
    <xdr:to>
      <xdr:col>65</xdr:col>
      <xdr:colOff>566615</xdr:colOff>
      <xdr:row>22</xdr:row>
      <xdr:rowOff>84261</xdr:rowOff>
    </xdr:to>
    <xdr:sp macro="" textlink="">
      <xdr:nvSpPr>
        <xdr:cNvPr id="13" name="TextBox 12">
          <a:extLst>
            <a:ext uri="{FF2B5EF4-FFF2-40B4-BE49-F238E27FC236}">
              <a16:creationId xmlns:a16="http://schemas.microsoft.com/office/drawing/2014/main" id="{044BEB6F-07E3-7E57-B692-6688BA4A5B5E}"/>
            </a:ext>
          </a:extLst>
        </xdr:cNvPr>
        <xdr:cNvSpPr txBox="1"/>
      </xdr:nvSpPr>
      <xdr:spPr>
        <a:xfrm rot="11180559">
          <a:off x="38207885" y="3521810"/>
          <a:ext cx="1728730" cy="431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a:solidFill>
              <a:srgbClr val="C00000"/>
            </a:solidFill>
            <a:effectLst/>
          </a:endParaRPr>
        </a:p>
      </xdr:txBody>
    </xdr:sp>
    <xdr:clientData/>
  </xdr:twoCellAnchor>
  <xdr:twoCellAnchor>
    <xdr:from>
      <xdr:col>13</xdr:col>
      <xdr:colOff>252282</xdr:colOff>
      <xdr:row>0</xdr:row>
      <xdr:rowOff>101597</xdr:rowOff>
    </xdr:from>
    <xdr:to>
      <xdr:col>16</xdr:col>
      <xdr:colOff>220133</xdr:colOff>
      <xdr:row>4</xdr:row>
      <xdr:rowOff>110066</xdr:rowOff>
    </xdr:to>
    <xdr:sp macro="" textlink="">
      <xdr:nvSpPr>
        <xdr:cNvPr id="8" name="Rectangle: Rounded Corners 7">
          <a:extLst>
            <a:ext uri="{FF2B5EF4-FFF2-40B4-BE49-F238E27FC236}">
              <a16:creationId xmlns:a16="http://schemas.microsoft.com/office/drawing/2014/main" id="{B2CB0A10-38BF-11E5-7A73-03072B3E30C9}"/>
            </a:ext>
          </a:extLst>
        </xdr:cNvPr>
        <xdr:cNvSpPr/>
      </xdr:nvSpPr>
      <xdr:spPr>
        <a:xfrm>
          <a:off x="8177082" y="101597"/>
          <a:ext cx="1796651" cy="753536"/>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solidFill>
                <a:schemeClr val="tx2">
                  <a:lumMod val="75000"/>
                  <a:lumOff val="25000"/>
                </a:schemeClr>
              </a:solidFill>
            </a:rPr>
            <a:t>Total Customers           </a:t>
          </a:r>
        </a:p>
        <a:p>
          <a:pPr algn="l"/>
          <a:r>
            <a:rPr lang="en-IN" sz="1600" b="1" baseline="0">
              <a:solidFill>
                <a:schemeClr val="tx2">
                  <a:lumMod val="75000"/>
                  <a:lumOff val="25000"/>
                </a:schemeClr>
              </a:solidFill>
            </a:rPr>
            <a:t>              </a:t>
          </a:r>
          <a:r>
            <a:rPr lang="en-IN" sz="1800" b="1" baseline="0">
              <a:solidFill>
                <a:srgbClr val="C00000"/>
              </a:solidFill>
            </a:rPr>
            <a:t>543</a:t>
          </a:r>
          <a:endParaRPr lang="en-IN" sz="1800" b="1">
            <a:solidFill>
              <a:srgbClr val="C00000"/>
            </a:solidFill>
          </a:endParaRPr>
        </a:p>
      </xdr:txBody>
    </xdr:sp>
    <xdr:clientData/>
  </xdr:twoCellAnchor>
  <xdr:twoCellAnchor>
    <xdr:from>
      <xdr:col>10</xdr:col>
      <xdr:colOff>288534</xdr:colOff>
      <xdr:row>0</xdr:row>
      <xdr:rowOff>144443</xdr:rowOff>
    </xdr:from>
    <xdr:to>
      <xdr:col>13</xdr:col>
      <xdr:colOff>59934</xdr:colOff>
      <xdr:row>4</xdr:row>
      <xdr:rowOff>103216</xdr:rowOff>
    </xdr:to>
    <xdr:sp macro="" textlink="">
      <xdr:nvSpPr>
        <xdr:cNvPr id="18" name="Rectangle: Rounded Corners 17">
          <a:extLst>
            <a:ext uri="{FF2B5EF4-FFF2-40B4-BE49-F238E27FC236}">
              <a16:creationId xmlns:a16="http://schemas.microsoft.com/office/drawing/2014/main" id="{0D17A563-E5DF-A759-4F2F-9CB565C327AD}"/>
            </a:ext>
          </a:extLst>
        </xdr:cNvPr>
        <xdr:cNvSpPr/>
      </xdr:nvSpPr>
      <xdr:spPr>
        <a:xfrm>
          <a:off x="6384534" y="144443"/>
          <a:ext cx="1600200" cy="7038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rPr>
            <a:t>      Total</a:t>
          </a:r>
          <a:r>
            <a:rPr lang="en-IN" sz="1100" baseline="0"/>
            <a:t> </a:t>
          </a:r>
          <a:r>
            <a:rPr lang="en-IN" sz="1600" b="1" baseline="0">
              <a:solidFill>
                <a:schemeClr val="accent1">
                  <a:lumMod val="75000"/>
                </a:schemeClr>
              </a:solidFill>
            </a:rPr>
            <a:t>Sales</a:t>
          </a:r>
        </a:p>
        <a:p>
          <a:pPr algn="l"/>
          <a:r>
            <a:rPr lang="en-IN" sz="1600" b="1" i="0" u="none" strike="noStrike" baseline="0">
              <a:solidFill>
                <a:schemeClr val="accent1">
                  <a:lumMod val="75000"/>
                </a:schemeClr>
              </a:solidFill>
              <a:effectLst/>
              <a:latin typeface="+mn-lt"/>
              <a:ea typeface="+mn-ea"/>
              <a:cs typeface="+mn-cs"/>
            </a:rPr>
            <a:t>   </a:t>
          </a:r>
          <a:r>
            <a:rPr lang="en-IN" sz="1600" b="1" i="0" u="none" strike="noStrike">
              <a:solidFill>
                <a:schemeClr val="lt1"/>
              </a:solidFill>
              <a:effectLst/>
              <a:latin typeface="+mn-lt"/>
              <a:ea typeface="+mn-ea"/>
              <a:cs typeface="+mn-cs"/>
            </a:rPr>
            <a:t> </a:t>
          </a:r>
          <a:r>
            <a:rPr lang="en-IN" sz="1600" b="1" i="0" u="none" strike="noStrike" baseline="0">
              <a:solidFill>
                <a:schemeClr val="lt1"/>
              </a:solidFill>
              <a:effectLst/>
              <a:latin typeface="+mn-lt"/>
              <a:ea typeface="+mn-ea"/>
              <a:cs typeface="+mn-cs"/>
            </a:rPr>
            <a:t>   </a:t>
          </a:r>
          <a:r>
            <a:rPr lang="en-IN" sz="1600" b="1">
              <a:solidFill>
                <a:srgbClr val="C00000"/>
              </a:solidFill>
              <a:effectLst/>
            </a:rPr>
            <a:t>68468254   </a:t>
          </a:r>
          <a:endParaRPr lang="en-IN" sz="1600" b="1">
            <a:solidFill>
              <a:srgbClr val="C00000"/>
            </a:solidFill>
          </a:endParaRPr>
        </a:p>
      </xdr:txBody>
    </xdr:sp>
    <xdr:clientData/>
  </xdr:twoCellAnchor>
  <xdr:twoCellAnchor>
    <xdr:from>
      <xdr:col>19</xdr:col>
      <xdr:colOff>400650</xdr:colOff>
      <xdr:row>0</xdr:row>
      <xdr:rowOff>84667</xdr:rowOff>
    </xdr:from>
    <xdr:to>
      <xdr:col>22</xdr:col>
      <xdr:colOff>110256</xdr:colOff>
      <xdr:row>4</xdr:row>
      <xdr:rowOff>44198</xdr:rowOff>
    </xdr:to>
    <xdr:sp macro="" textlink="">
      <xdr:nvSpPr>
        <xdr:cNvPr id="19" name="Rectangle: Rounded Corners 18">
          <a:extLst>
            <a:ext uri="{FF2B5EF4-FFF2-40B4-BE49-F238E27FC236}">
              <a16:creationId xmlns:a16="http://schemas.microsoft.com/office/drawing/2014/main" id="{056BED5E-78E6-3D11-6677-80CE21F88B99}"/>
            </a:ext>
          </a:extLst>
        </xdr:cNvPr>
        <xdr:cNvSpPr/>
      </xdr:nvSpPr>
      <xdr:spPr>
        <a:xfrm>
          <a:off x="11983050" y="84667"/>
          <a:ext cx="1538406" cy="70459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rPr>
            <a:t>Profit</a:t>
          </a:r>
          <a:r>
            <a:rPr lang="en-IN" sz="1600" b="1" baseline="0">
              <a:solidFill>
                <a:schemeClr val="accent1">
                  <a:lumMod val="75000"/>
                </a:schemeClr>
              </a:solidFill>
            </a:rPr>
            <a:t> Margin</a:t>
          </a:r>
        </a:p>
        <a:p>
          <a:pPr algn="l"/>
          <a:r>
            <a:rPr lang="en-IN" sz="1800" b="1" baseline="0">
              <a:solidFill>
                <a:srgbClr val="C00000"/>
              </a:solidFill>
            </a:rPr>
            <a:t>        </a:t>
          </a:r>
          <a:endParaRPr lang="en-IN" sz="1800" b="1">
            <a:solidFill>
              <a:srgbClr val="C00000"/>
            </a:solidFill>
          </a:endParaRPr>
        </a:p>
      </xdr:txBody>
    </xdr:sp>
    <xdr:clientData/>
  </xdr:twoCellAnchor>
  <xdr:twoCellAnchor>
    <xdr:from>
      <xdr:col>16</xdr:col>
      <xdr:colOff>459876</xdr:colOff>
      <xdr:row>0</xdr:row>
      <xdr:rowOff>117197</xdr:rowOff>
    </xdr:from>
    <xdr:to>
      <xdr:col>19</xdr:col>
      <xdr:colOff>169333</xdr:colOff>
      <xdr:row>4</xdr:row>
      <xdr:rowOff>33866</xdr:rowOff>
    </xdr:to>
    <xdr:sp macro="" textlink="">
      <xdr:nvSpPr>
        <xdr:cNvPr id="21" name="Rectangle: Rounded Corners 20">
          <a:extLst>
            <a:ext uri="{FF2B5EF4-FFF2-40B4-BE49-F238E27FC236}">
              <a16:creationId xmlns:a16="http://schemas.microsoft.com/office/drawing/2014/main" id="{7330319A-523D-B39E-B69F-48E3DD86533F}"/>
            </a:ext>
          </a:extLst>
        </xdr:cNvPr>
        <xdr:cNvSpPr/>
      </xdr:nvSpPr>
      <xdr:spPr>
        <a:xfrm>
          <a:off x="10213476" y="117197"/>
          <a:ext cx="1538257" cy="661736"/>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i="0" u="none" strike="noStrike">
              <a:solidFill>
                <a:schemeClr val="accent1">
                  <a:lumMod val="75000"/>
                </a:schemeClr>
              </a:solidFill>
              <a:effectLst/>
              <a:latin typeface="+mn-lt"/>
              <a:ea typeface="+mn-ea"/>
              <a:cs typeface="+mn-cs"/>
            </a:rPr>
            <a:t>    Total Profit       </a:t>
          </a:r>
          <a:r>
            <a:rPr lang="en-IN" sz="1100" b="0" i="0" u="none" strike="noStrike">
              <a:solidFill>
                <a:schemeClr val="lt1"/>
              </a:solidFill>
              <a:effectLst/>
              <a:latin typeface="+mn-lt"/>
              <a:ea typeface="+mn-ea"/>
              <a:cs typeface="+mn-cs"/>
            </a:rPr>
            <a:t>16</a:t>
          </a:r>
          <a:r>
            <a:rPr lang="en-IN" sz="1100" b="0" i="0" u="none" strike="noStrike" baseline="0">
              <a:solidFill>
                <a:schemeClr val="lt1"/>
              </a:solidFill>
              <a:effectLst/>
              <a:latin typeface="+mn-lt"/>
              <a:ea typeface="+mn-ea"/>
              <a:cs typeface="+mn-cs"/>
            </a:rPr>
            <a:t>   </a:t>
          </a:r>
          <a:r>
            <a:rPr lang="en-IN" sz="1600" b="1">
              <a:effectLst/>
            </a:rPr>
            <a:t> </a:t>
          </a:r>
          <a:endParaRPr lang="en-IN" sz="1600" b="1"/>
        </a:p>
      </xdr:txBody>
    </xdr:sp>
    <xdr:clientData/>
  </xdr:twoCellAnchor>
  <xdr:twoCellAnchor>
    <xdr:from>
      <xdr:col>22</xdr:col>
      <xdr:colOff>313266</xdr:colOff>
      <xdr:row>0</xdr:row>
      <xdr:rowOff>101601</xdr:rowOff>
    </xdr:from>
    <xdr:to>
      <xdr:col>25</xdr:col>
      <xdr:colOff>50800</xdr:colOff>
      <xdr:row>4</xdr:row>
      <xdr:rowOff>37249</xdr:rowOff>
    </xdr:to>
    <xdr:sp macro="" textlink="">
      <xdr:nvSpPr>
        <xdr:cNvPr id="22" name="Rectangle: Rounded Corners 21">
          <a:extLst>
            <a:ext uri="{FF2B5EF4-FFF2-40B4-BE49-F238E27FC236}">
              <a16:creationId xmlns:a16="http://schemas.microsoft.com/office/drawing/2014/main" id="{25199769-12F4-2BC4-6406-6B11F323CE89}"/>
            </a:ext>
          </a:extLst>
        </xdr:cNvPr>
        <xdr:cNvSpPr/>
      </xdr:nvSpPr>
      <xdr:spPr>
        <a:xfrm>
          <a:off x="13724466" y="101601"/>
          <a:ext cx="1566334" cy="68071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accent1">
                  <a:lumMod val="75000"/>
                </a:schemeClr>
              </a:solidFill>
            </a:rPr>
            <a:t> Total Orders</a:t>
          </a:r>
          <a:r>
            <a:rPr lang="en-IN" sz="1100" b="1" i="0" u="none" strike="noStrike" baseline="0">
              <a:solidFill>
                <a:schemeClr val="lt1"/>
              </a:solidFill>
              <a:effectLst/>
              <a:latin typeface="+mn-lt"/>
              <a:ea typeface="+mn-ea"/>
              <a:cs typeface="+mn-cs"/>
            </a:rPr>
            <a:t>                                                                         </a:t>
          </a:r>
        </a:p>
        <a:p>
          <a:pPr algn="l"/>
          <a:r>
            <a:rPr lang="en-IN" sz="1600" b="1" i="0" u="none" strike="noStrike" baseline="0">
              <a:solidFill>
                <a:schemeClr val="lt1"/>
              </a:solidFill>
              <a:effectLst/>
              <a:latin typeface="+mn-lt"/>
              <a:ea typeface="+mn-ea"/>
              <a:cs typeface="+mn-cs"/>
            </a:rPr>
            <a:t>          </a:t>
          </a:r>
          <a:r>
            <a:rPr lang="en-IN" sz="1600" b="1">
              <a:solidFill>
                <a:srgbClr val="C00000"/>
              </a:solidFill>
              <a:effectLst/>
            </a:rPr>
            <a:t>547 </a:t>
          </a:r>
          <a:endParaRPr lang="en-IN" sz="1600" b="1">
            <a:solidFill>
              <a:srgbClr val="C00000"/>
            </a:solidFill>
          </a:endParaRPr>
        </a:p>
      </xdr:txBody>
    </xdr:sp>
    <xdr:clientData/>
  </xdr:twoCellAnchor>
  <xdr:twoCellAnchor>
    <xdr:from>
      <xdr:col>0</xdr:col>
      <xdr:colOff>74467</xdr:colOff>
      <xdr:row>0</xdr:row>
      <xdr:rowOff>68887</xdr:rowOff>
    </xdr:from>
    <xdr:to>
      <xdr:col>10</xdr:col>
      <xdr:colOff>100444</xdr:colOff>
      <xdr:row>5</xdr:row>
      <xdr:rowOff>51570</xdr:rowOff>
    </xdr:to>
    <xdr:sp macro="" textlink="">
      <xdr:nvSpPr>
        <xdr:cNvPr id="11" name="Rectangle: Rounded Corners 10">
          <a:extLst>
            <a:ext uri="{FF2B5EF4-FFF2-40B4-BE49-F238E27FC236}">
              <a16:creationId xmlns:a16="http://schemas.microsoft.com/office/drawing/2014/main" id="{AB7147E8-1AE0-37F2-BADA-BC2CD66B123B}"/>
            </a:ext>
          </a:extLst>
        </xdr:cNvPr>
        <xdr:cNvSpPr/>
      </xdr:nvSpPr>
      <xdr:spPr>
        <a:xfrm>
          <a:off x="74467" y="68887"/>
          <a:ext cx="6121977" cy="91401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800" b="1">
              <a:solidFill>
                <a:schemeClr val="accent3">
                  <a:lumMod val="60000"/>
                  <a:lumOff val="40000"/>
                </a:schemeClr>
              </a:solidFill>
            </a:rPr>
            <a:t>        </a:t>
          </a:r>
          <a:r>
            <a:rPr lang="en-IN" sz="4800" b="1">
              <a:solidFill>
                <a:srgbClr val="4AB81E"/>
              </a:solidFill>
            </a:rPr>
            <a:t>SALES</a:t>
          </a:r>
          <a:r>
            <a:rPr lang="en-IN" sz="1100" b="1">
              <a:solidFill>
                <a:srgbClr val="4AB81E"/>
              </a:solidFill>
            </a:rPr>
            <a:t>   </a:t>
          </a:r>
          <a:r>
            <a:rPr lang="en-IN" sz="4800" b="1">
              <a:solidFill>
                <a:srgbClr val="4AB81E"/>
              </a:solidFill>
            </a:rPr>
            <a:t>DASHBOARD </a:t>
          </a:r>
        </a:p>
      </xdr:txBody>
    </xdr:sp>
    <xdr:clientData/>
  </xdr:twoCellAnchor>
  <xdr:twoCellAnchor editAs="oneCell">
    <xdr:from>
      <xdr:col>0</xdr:col>
      <xdr:colOff>178957</xdr:colOff>
      <xdr:row>0</xdr:row>
      <xdr:rowOff>147011</xdr:rowOff>
    </xdr:from>
    <xdr:to>
      <xdr:col>1</xdr:col>
      <xdr:colOff>334887</xdr:colOff>
      <xdr:row>4</xdr:row>
      <xdr:rowOff>135988</xdr:rowOff>
    </xdr:to>
    <xdr:pic>
      <xdr:nvPicPr>
        <xdr:cNvPr id="12" name="Picture 11">
          <a:extLst>
            <a:ext uri="{FF2B5EF4-FFF2-40B4-BE49-F238E27FC236}">
              <a16:creationId xmlns:a16="http://schemas.microsoft.com/office/drawing/2014/main" id="{848A741F-8BE9-706F-E3CE-319BD1E7EBA9}"/>
            </a:ext>
          </a:extLst>
        </xdr:cNvPr>
        <xdr:cNvPicPr>
          <a:picLocks noChangeAspect="1"/>
        </xdr:cNvPicPr>
      </xdr:nvPicPr>
      <xdr:blipFill>
        <a:blip xmlns:r="http://schemas.openxmlformats.org/officeDocument/2006/relationships" r:embed="rId6"/>
        <a:stretch>
          <a:fillRect/>
        </a:stretch>
      </xdr:blipFill>
      <xdr:spPr>
        <a:xfrm>
          <a:off x="178957" y="147011"/>
          <a:ext cx="765530" cy="734044"/>
        </a:xfrm>
        <a:prstGeom prst="rect">
          <a:avLst/>
        </a:prstGeom>
      </xdr:spPr>
    </xdr:pic>
    <xdr:clientData/>
  </xdr:twoCellAnchor>
  <xdr:twoCellAnchor editAs="oneCell">
    <xdr:from>
      <xdr:col>16</xdr:col>
      <xdr:colOff>523518</xdr:colOff>
      <xdr:row>1</xdr:row>
      <xdr:rowOff>175037</xdr:rowOff>
    </xdr:from>
    <xdr:to>
      <xdr:col>18</xdr:col>
      <xdr:colOff>490470</xdr:colOff>
      <xdr:row>4</xdr:row>
      <xdr:rowOff>68126</xdr:rowOff>
    </xdr:to>
    <xdr:pic>
      <xdr:nvPicPr>
        <xdr:cNvPr id="10" name="Picture 9">
          <a:extLst>
            <a:ext uri="{FF2B5EF4-FFF2-40B4-BE49-F238E27FC236}">
              <a16:creationId xmlns:a16="http://schemas.microsoft.com/office/drawing/2014/main" id="{C59A41F7-17D3-DD29-B66F-7D69DC6B7415}"/>
            </a:ext>
          </a:extLst>
        </xdr:cNvPr>
        <xdr:cNvPicPr>
          <a:picLocks noChangeAspect="1"/>
        </xdr:cNvPicPr>
      </xdr:nvPicPr>
      <xdr:blipFill>
        <a:blip xmlns:r="http://schemas.openxmlformats.org/officeDocument/2006/relationships" r:embed="rId7"/>
        <a:stretch>
          <a:fillRect/>
        </a:stretch>
      </xdr:blipFill>
      <xdr:spPr>
        <a:xfrm>
          <a:off x="10277118" y="361304"/>
          <a:ext cx="1186152" cy="451889"/>
        </a:xfrm>
        <a:prstGeom prst="rect">
          <a:avLst/>
        </a:prstGeom>
      </xdr:spPr>
    </xdr:pic>
    <xdr:clientData/>
  </xdr:twoCellAnchor>
  <xdr:twoCellAnchor editAs="oneCell">
    <xdr:from>
      <xdr:col>20</xdr:col>
      <xdr:colOff>159493</xdr:colOff>
      <xdr:row>1</xdr:row>
      <xdr:rowOff>149487</xdr:rowOff>
    </xdr:from>
    <xdr:to>
      <xdr:col>21</xdr:col>
      <xdr:colOff>344155</xdr:colOff>
      <xdr:row>4</xdr:row>
      <xdr:rowOff>97445</xdr:rowOff>
    </xdr:to>
    <xdr:pic>
      <xdr:nvPicPr>
        <xdr:cNvPr id="14" name="Picture 13">
          <a:extLst>
            <a:ext uri="{FF2B5EF4-FFF2-40B4-BE49-F238E27FC236}">
              <a16:creationId xmlns:a16="http://schemas.microsoft.com/office/drawing/2014/main" id="{844B3E2E-9C30-5E71-7E8E-AAE8B496D471}"/>
            </a:ext>
          </a:extLst>
        </xdr:cNvPr>
        <xdr:cNvPicPr>
          <a:picLocks noChangeAspect="1"/>
        </xdr:cNvPicPr>
      </xdr:nvPicPr>
      <xdr:blipFill>
        <a:blip xmlns:r="http://schemas.openxmlformats.org/officeDocument/2006/relationships" r:embed="rId8"/>
        <a:stretch>
          <a:fillRect/>
        </a:stretch>
      </xdr:blipFill>
      <xdr:spPr>
        <a:xfrm>
          <a:off x="12351493" y="335754"/>
          <a:ext cx="794262" cy="5067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nad P D" refreshedDate="46048.027484837963" createdVersion="8" refreshedVersion="8" minRefreshableVersion="3" recordCount="547" xr:uid="{335D612A-A48C-4681-AC01-ED0F5E8681F6}">
  <cacheSource type="worksheet">
    <worksheetSource name="Sales_Dataset"/>
  </cacheSource>
  <cacheFields count="12">
    <cacheField name="Order ID" numFmtId="0">
      <sharedItems/>
    </cacheField>
    <cacheField name="Order Date" numFmtId="14">
      <sharedItems containsSemiMixedTypes="0" containsNonDate="0" containsDate="1" containsString="0" minDate="2020-03-23T00:00:00" maxDate="2025-03-16T00:00:00" count="466">
        <d v="2024-12-27T00:00:00"/>
        <d v="2024-05-11T00:00:00"/>
        <d v="2022-11-18T00:00:00"/>
        <d v="2023-11-12T00:00:00"/>
        <d v="2020-03-23T00:00:00"/>
        <d v="2020-05-04T00:00:00"/>
        <d v="2023-11-09T00:00:00"/>
        <d v="2024-12-30T00:00:00"/>
        <d v="2025-02-11T00:00:00"/>
        <d v="2020-11-28T00:00:00"/>
        <d v="2024-05-30T00:00:00"/>
        <d v="2022-01-23T00:00:00"/>
        <d v="2023-02-03T00:00:00"/>
        <d v="2022-10-30T00:00:00"/>
        <d v="2023-12-14T00:00:00"/>
        <d v="2023-07-03T00:00:00"/>
        <d v="2022-10-07T00:00:00"/>
        <d v="2024-08-06T00:00:00"/>
        <d v="2023-08-21T00:00:00"/>
        <d v="2022-09-19T00:00:00"/>
        <d v="2022-03-25T00:00:00"/>
        <d v="2022-02-26T00:00:00"/>
        <d v="2020-11-16T00:00:00"/>
        <d v="2024-12-12T00:00:00"/>
        <d v="2024-01-28T00:00:00"/>
        <d v="2022-12-16T00:00:00"/>
        <d v="2023-07-13T00:00:00"/>
        <d v="2025-03-10T00:00:00"/>
        <d v="2020-04-13T00:00:00"/>
        <d v="2022-06-27T00:00:00"/>
        <d v="2022-11-20T00:00:00"/>
        <d v="2021-11-12T00:00:00"/>
        <d v="2022-05-16T00:00:00"/>
        <d v="2023-07-16T00:00:00"/>
        <d v="2022-04-19T00:00:00"/>
        <d v="2022-12-23T00:00:00"/>
        <d v="2024-12-07T00:00:00"/>
        <d v="2022-02-03T00:00:00"/>
        <d v="2020-05-17T00:00:00"/>
        <d v="2024-09-17T00:00:00"/>
        <d v="2023-05-08T00:00:00"/>
        <d v="2022-08-29T00:00:00"/>
        <d v="2024-09-04T00:00:00"/>
        <d v="2024-07-02T00:00:00"/>
        <d v="2024-02-16T00:00:00"/>
        <d v="2021-11-26T00:00:00"/>
        <d v="2024-02-01T00:00:00"/>
        <d v="2024-07-09T00:00:00"/>
        <d v="2023-02-28T00:00:00"/>
        <d v="2022-08-08T00:00:00"/>
        <d v="2024-04-29T00:00:00"/>
        <d v="2022-01-02T00:00:00"/>
        <d v="2022-08-17T00:00:00"/>
        <d v="2023-03-04T00:00:00"/>
        <d v="2023-12-16T00:00:00"/>
        <d v="2024-05-19T00:00:00"/>
        <d v="2021-08-29T00:00:00"/>
        <d v="2024-11-10T00:00:00"/>
        <d v="2021-12-05T00:00:00"/>
        <d v="2024-07-05T00:00:00"/>
        <d v="2024-06-25T00:00:00"/>
        <d v="2024-05-31T00:00:00"/>
        <d v="2022-08-11T00:00:00"/>
        <d v="2022-02-23T00:00:00"/>
        <d v="2023-09-20T00:00:00"/>
        <d v="2021-01-19T00:00:00"/>
        <d v="2023-12-24T00:00:00"/>
        <d v="2022-03-20T00:00:00"/>
        <d v="2021-08-12T00:00:00"/>
        <d v="2023-07-07T00:00:00"/>
        <d v="2023-08-13T00:00:00"/>
        <d v="2021-05-28T00:00:00"/>
        <d v="2024-07-18T00:00:00"/>
        <d v="2024-12-06T00:00:00"/>
        <d v="2022-12-12T00:00:00"/>
        <d v="2022-10-20T00:00:00"/>
        <d v="2025-01-06T00:00:00"/>
        <d v="2021-03-06T00:00:00"/>
        <d v="2023-09-01T00:00:00"/>
        <d v="2023-06-08T00:00:00"/>
        <d v="2021-03-25T00:00:00"/>
        <d v="2021-01-03T00:00:00"/>
        <d v="2022-08-12T00:00:00"/>
        <d v="2023-07-15T00:00:00"/>
        <d v="2023-01-29T00:00:00"/>
        <d v="2022-01-15T00:00:00"/>
        <d v="2025-02-19T00:00:00"/>
        <d v="2024-07-13T00:00:00"/>
        <d v="2024-05-14T00:00:00"/>
        <d v="2023-09-18T00:00:00"/>
        <d v="2023-09-17T00:00:00"/>
        <d v="2024-09-06T00:00:00"/>
        <d v="2022-06-18T00:00:00"/>
        <d v="2020-05-22T00:00:00"/>
        <d v="2024-10-17T00:00:00"/>
        <d v="2022-03-22T00:00:00"/>
        <d v="2024-03-17T00:00:00"/>
        <d v="2020-04-02T00:00:00"/>
        <d v="2024-03-13T00:00:00"/>
        <d v="2023-03-21T00:00:00"/>
        <d v="2024-03-02T00:00:00"/>
        <d v="2023-01-28T00:00:00"/>
        <d v="2021-07-08T00:00:00"/>
        <d v="2022-08-23T00:00:00"/>
        <d v="2022-12-17T00:00:00"/>
        <d v="2020-08-28T00:00:00"/>
        <d v="2020-09-26T00:00:00"/>
        <d v="2020-12-13T00:00:00"/>
        <d v="2023-09-13T00:00:00"/>
        <d v="2020-10-20T00:00:00"/>
        <d v="2023-08-04T00:00:00"/>
        <d v="2022-04-11T00:00:00"/>
        <d v="2021-12-31T00:00:00"/>
        <d v="2020-08-16T00:00:00"/>
        <d v="2025-02-02T00:00:00"/>
        <d v="2022-02-24T00:00:00"/>
        <d v="2024-02-25T00:00:00"/>
        <d v="2023-12-09T00:00:00"/>
        <d v="2022-07-16T00:00:00"/>
        <d v="2024-05-05T00:00:00"/>
        <d v="2021-10-04T00:00:00"/>
        <d v="2021-11-20T00:00:00"/>
        <d v="2020-09-15T00:00:00"/>
        <d v="2023-01-17T00:00:00"/>
        <d v="2024-05-01T00:00:00"/>
        <d v="2023-12-07T00:00:00"/>
        <d v="2024-02-02T00:00:00"/>
        <d v="2024-06-23T00:00:00"/>
        <d v="2024-06-07T00:00:00"/>
        <d v="2023-10-13T00:00:00"/>
        <d v="2023-10-27T00:00:00"/>
        <d v="2020-11-03T00:00:00"/>
        <d v="2022-05-30T00:00:00"/>
        <d v="2024-06-16T00:00:00"/>
        <d v="2022-07-15T00:00:00"/>
        <d v="2021-10-02T00:00:00"/>
        <d v="2024-04-16T00:00:00"/>
        <d v="2024-01-24T00:00:00"/>
        <d v="2023-10-07T00:00:00"/>
        <d v="2021-10-23T00:00:00"/>
        <d v="2022-07-18T00:00:00"/>
        <d v="2024-08-23T00:00:00"/>
        <d v="2020-10-28T00:00:00"/>
        <d v="2024-12-19T00:00:00"/>
        <d v="2020-09-04T00:00:00"/>
        <d v="2022-04-16T00:00:00"/>
        <d v="2024-08-29T00:00:00"/>
        <d v="2024-04-07T00:00:00"/>
        <d v="2022-04-24T00:00:00"/>
        <d v="2020-08-27T00:00:00"/>
        <d v="2023-03-01T00:00:00"/>
        <d v="2022-08-01T00:00:00"/>
        <d v="2020-07-16T00:00:00"/>
        <d v="2020-05-02T00:00:00"/>
        <d v="2024-01-10T00:00:00"/>
        <d v="2022-03-28T00:00:00"/>
        <d v="2021-01-30T00:00:00"/>
        <d v="2025-03-14T00:00:00"/>
        <d v="2023-01-11T00:00:00"/>
        <d v="2021-10-31T00:00:00"/>
        <d v="2024-08-09T00:00:00"/>
        <d v="2022-08-21T00:00:00"/>
        <d v="2022-06-19T00:00:00"/>
        <d v="2025-01-29T00:00:00"/>
        <d v="2022-01-14T00:00:00"/>
        <d v="2023-06-15T00:00:00"/>
        <d v="2023-10-18T00:00:00"/>
        <d v="2024-06-12T00:00:00"/>
        <d v="2021-02-18T00:00:00"/>
        <d v="2023-05-29T00:00:00"/>
        <d v="2024-01-22T00:00:00"/>
        <d v="2024-03-30T00:00:00"/>
        <d v="2020-04-04T00:00:00"/>
        <d v="2023-12-13T00:00:00"/>
        <d v="2023-05-24T00:00:00"/>
        <d v="2021-03-24T00:00:00"/>
        <d v="2024-12-26T00:00:00"/>
        <d v="2021-12-03T00:00:00"/>
        <d v="2021-09-14T00:00:00"/>
        <d v="2021-09-30T00:00:00"/>
        <d v="2021-12-22T00:00:00"/>
        <d v="2022-05-18T00:00:00"/>
        <d v="2020-10-08T00:00:00"/>
        <d v="2024-11-25T00:00:00"/>
        <d v="2025-02-20T00:00:00"/>
        <d v="2025-03-07T00:00:00"/>
        <d v="2024-10-01T00:00:00"/>
        <d v="2020-11-23T00:00:00"/>
        <d v="2023-03-18T00:00:00"/>
        <d v="2023-08-31T00:00:00"/>
        <d v="2022-12-21T00:00:00"/>
        <d v="2024-02-12T00:00:00"/>
        <d v="2022-12-05T00:00:00"/>
        <d v="2021-04-04T00:00:00"/>
        <d v="2024-01-19T00:00:00"/>
        <d v="2022-12-25T00:00:00"/>
        <d v="2022-10-06T00:00:00"/>
        <d v="2024-05-13T00:00:00"/>
        <d v="2020-10-23T00:00:00"/>
        <d v="2021-09-08T00:00:00"/>
        <d v="2023-09-30T00:00:00"/>
        <d v="2020-09-12T00:00:00"/>
        <d v="2023-10-11T00:00:00"/>
        <d v="2022-04-21T00:00:00"/>
        <d v="2023-09-14T00:00:00"/>
        <d v="2024-09-21T00:00:00"/>
        <d v="2022-10-21T00:00:00"/>
        <d v="2022-01-11T00:00:00"/>
        <d v="2022-08-30T00:00:00"/>
        <d v="2023-06-04T00:00:00"/>
        <d v="2022-05-13T00:00:00"/>
        <d v="2023-01-23T00:00:00"/>
        <d v="2025-03-08T00:00:00"/>
        <d v="2024-04-24T00:00:00"/>
        <d v="2021-08-10T00:00:00"/>
        <d v="2024-05-26T00:00:00"/>
        <d v="2024-12-09T00:00:00"/>
        <d v="2023-06-01T00:00:00"/>
        <d v="2023-11-05T00:00:00"/>
        <d v="2020-06-21T00:00:00"/>
        <d v="2020-10-26T00:00:00"/>
        <d v="2022-06-06T00:00:00"/>
        <d v="2021-11-11T00:00:00"/>
        <d v="2021-07-31T00:00:00"/>
        <d v="2024-04-13T00:00:00"/>
        <d v="2024-03-23T00:00:00"/>
        <d v="2021-05-07T00:00:00"/>
        <d v="2022-05-06T00:00:00"/>
        <d v="2025-02-09T00:00:00"/>
        <d v="2024-04-23T00:00:00"/>
        <d v="2024-06-06T00:00:00"/>
        <d v="2025-01-27T00:00:00"/>
        <d v="2023-04-07T00:00:00"/>
        <d v="2022-05-10T00:00:00"/>
        <d v="2024-05-29T00:00:00"/>
        <d v="2024-05-02T00:00:00"/>
        <d v="2023-08-17T00:00:00"/>
        <d v="2021-06-13T00:00:00"/>
        <d v="2022-07-04T00:00:00"/>
        <d v="2021-06-27T00:00:00"/>
        <d v="2023-12-04T00:00:00"/>
        <d v="2022-08-09T00:00:00"/>
        <d v="2020-04-08T00:00:00"/>
        <d v="2023-10-20T00:00:00"/>
        <d v="2023-10-05T00:00:00"/>
        <d v="2022-09-22T00:00:00"/>
        <d v="2025-02-04T00:00:00"/>
        <d v="2022-10-12T00:00:00"/>
        <d v="2023-05-03T00:00:00"/>
        <d v="2022-10-04T00:00:00"/>
        <d v="2024-08-21T00:00:00"/>
        <d v="2022-02-28T00:00:00"/>
        <d v="2024-04-25T00:00:00"/>
        <d v="2024-07-28T00:00:00"/>
        <d v="2023-07-30T00:00:00"/>
        <d v="2024-10-05T00:00:00"/>
        <d v="2024-02-20T00:00:00"/>
        <d v="2023-10-29T00:00:00"/>
        <d v="2022-12-08T00:00:00"/>
        <d v="2024-07-27T00:00:00"/>
        <d v="2024-07-04T00:00:00"/>
        <d v="2025-01-03T00:00:00"/>
        <d v="2021-12-07T00:00:00"/>
        <d v="2021-12-14T00:00:00"/>
        <d v="2021-12-29T00:00:00"/>
        <d v="2024-07-08T00:00:00"/>
        <d v="2021-02-10T00:00:00"/>
        <d v="2023-04-17T00:00:00"/>
        <d v="2020-10-21T00:00:00"/>
        <d v="2023-12-28T00:00:00"/>
        <d v="2023-10-17T00:00:00"/>
        <d v="2024-05-24T00:00:00"/>
        <d v="2020-10-02T00:00:00"/>
        <d v="2024-02-10T00:00:00"/>
        <d v="2022-03-16T00:00:00"/>
        <d v="2025-02-16T00:00:00"/>
        <d v="2022-06-29T00:00:00"/>
        <d v="2022-11-03T00:00:00"/>
        <d v="2023-11-28T00:00:00"/>
        <d v="2020-04-25T00:00:00"/>
        <d v="2022-01-18T00:00:00"/>
        <d v="2024-11-24T00:00:00"/>
        <d v="2023-07-18T00:00:00"/>
        <d v="2022-10-22T00:00:00"/>
        <d v="2023-07-17T00:00:00"/>
        <d v="2025-02-24T00:00:00"/>
        <d v="2021-03-07T00:00:00"/>
        <d v="2023-10-25T00:00:00"/>
        <d v="2023-04-02T00:00:00"/>
        <d v="2024-10-21T00:00:00"/>
        <d v="2022-04-08T00:00:00"/>
        <d v="2022-04-30T00:00:00"/>
        <d v="2023-01-20T00:00:00"/>
        <d v="2024-11-17T00:00:00"/>
        <d v="2025-02-18T00:00:00"/>
        <d v="2022-01-17T00:00:00"/>
        <d v="2025-01-15T00:00:00"/>
        <d v="2021-02-14T00:00:00"/>
        <d v="2024-08-31T00:00:00"/>
        <d v="2024-03-21T00:00:00"/>
        <d v="2024-12-05T00:00:00"/>
        <d v="2022-12-28T00:00:00"/>
        <d v="2025-02-26T00:00:00"/>
        <d v="2022-11-12T00:00:00"/>
        <d v="2021-06-07T00:00:00"/>
        <d v="2024-04-10T00:00:00"/>
        <d v="2023-12-21T00:00:00"/>
        <d v="2024-11-21T00:00:00"/>
        <d v="2023-05-14T00:00:00"/>
        <d v="2024-10-07T00:00:00"/>
        <d v="2021-08-19T00:00:00"/>
        <d v="2022-06-04T00:00:00"/>
        <d v="2020-08-10T00:00:00"/>
        <d v="2024-06-22T00:00:00"/>
        <d v="2020-07-13T00:00:00"/>
        <d v="2021-03-13T00:00:00"/>
        <d v="2023-04-01T00:00:00"/>
        <d v="2020-11-10T00:00:00"/>
        <d v="2021-08-17T00:00:00"/>
        <d v="2020-05-24T00:00:00"/>
        <d v="2022-09-03T00:00:00"/>
        <d v="2022-05-27T00:00:00"/>
        <d v="2024-03-10T00:00:00"/>
        <d v="2022-08-28T00:00:00"/>
        <d v="2021-04-27T00:00:00"/>
        <d v="2021-08-21T00:00:00"/>
        <d v="2023-11-30T00:00:00"/>
        <d v="2023-05-19T00:00:00"/>
        <d v="2024-02-19T00:00:00"/>
        <d v="2021-12-01T00:00:00"/>
        <d v="2023-01-18T00:00:00"/>
        <d v="2021-02-28T00:00:00"/>
        <d v="2023-05-04T00:00:00"/>
        <d v="2023-07-20T00:00:00"/>
        <d v="2023-03-14T00:00:00"/>
        <d v="2022-09-16T00:00:00"/>
        <d v="2024-10-31T00:00:00"/>
        <d v="2023-12-27T00:00:00"/>
        <d v="2020-09-01T00:00:00"/>
        <d v="2025-02-01T00:00:00"/>
        <d v="2023-07-22T00:00:00"/>
        <d v="2025-01-30T00:00:00"/>
        <d v="2021-12-25T00:00:00"/>
        <d v="2024-11-22T00:00:00"/>
        <d v="2024-10-08T00:00:00"/>
        <d v="2020-12-16T00:00:00"/>
        <d v="2025-03-15T00:00:00"/>
        <d v="2021-05-27T00:00:00"/>
        <d v="2020-09-21T00:00:00"/>
        <d v="2025-01-11T00:00:00"/>
        <d v="2021-10-20T00:00:00"/>
        <d v="2021-10-19T00:00:00"/>
        <d v="2024-07-07T00:00:00"/>
        <d v="2020-04-16T00:00:00"/>
        <d v="2020-07-04T00:00:00"/>
        <d v="2023-11-25T00:00:00"/>
        <d v="2023-07-02T00:00:00"/>
        <d v="2020-08-24T00:00:00"/>
        <d v="2022-11-07T00:00:00"/>
        <d v="2024-09-01T00:00:00"/>
        <d v="2022-02-11T00:00:00"/>
        <d v="2023-07-05T00:00:00"/>
        <d v="2023-01-26T00:00:00"/>
        <d v="2024-07-30T00:00:00"/>
        <d v="2022-03-15T00:00:00"/>
        <d v="2024-03-15T00:00:00"/>
        <d v="2022-07-23T00:00:00"/>
        <d v="2024-09-13T00:00:00"/>
        <d v="2022-01-25T00:00:00"/>
        <d v="2021-04-19T00:00:00"/>
        <d v="2021-07-18T00:00:00"/>
        <d v="2024-06-08T00:00:00"/>
        <d v="2022-09-29T00:00:00"/>
        <d v="2023-05-10T00:00:00"/>
        <d v="2021-04-12T00:00:00"/>
        <d v="2023-11-04T00:00:00"/>
        <d v="2024-05-08T00:00:00"/>
        <d v="2020-09-10T00:00:00"/>
        <d v="2024-03-27T00:00:00"/>
        <d v="2023-04-05T00:00:00"/>
        <d v="2024-12-29T00:00:00"/>
        <d v="2020-08-11T00:00:00"/>
        <d v="2024-03-04T00:00:00"/>
        <d v="2023-07-28T00:00:00"/>
        <d v="2021-11-27T00:00:00"/>
        <d v="2020-09-09T00:00:00"/>
        <d v="2024-06-26T00:00:00"/>
        <d v="2024-11-27T00:00:00"/>
        <d v="2022-01-10T00:00:00"/>
        <d v="2025-03-01T00:00:00"/>
        <d v="2024-12-14T00:00:00"/>
        <d v="2022-07-25T00:00:00"/>
        <d v="2022-09-12T00:00:00"/>
        <d v="2023-08-20T00:00:00"/>
        <d v="2023-09-04T00:00:00"/>
        <d v="2023-06-05T00:00:00"/>
        <d v="2024-05-28T00:00:00"/>
        <d v="2023-03-09T00:00:00"/>
        <d v="2022-07-28T00:00:00"/>
        <d v="2024-02-13T00:00:00"/>
        <d v="2021-08-06T00:00:00"/>
        <d v="2022-05-01T00:00:00"/>
        <d v="2024-03-11T00:00:00"/>
        <d v="2020-07-06T00:00:00"/>
        <d v="2020-12-17T00:00:00"/>
        <d v="2025-02-27T00:00:00"/>
        <d v="2022-12-22T00:00:00"/>
        <d v="2025-02-14T00:00:00"/>
        <d v="2023-01-06T00:00:00"/>
        <d v="2020-10-11T00:00:00"/>
        <d v="2022-05-17T00:00:00"/>
        <d v="2020-12-21T00:00:00"/>
        <d v="2024-02-21T00:00:00"/>
        <d v="2022-05-15T00:00:00"/>
        <d v="2022-07-22T00:00:00"/>
        <d v="2021-12-13T00:00:00"/>
        <d v="2023-02-02T00:00:00"/>
        <d v="2024-06-15T00:00:00"/>
        <d v="2024-02-11T00:00:00"/>
        <d v="2023-08-12T00:00:00"/>
        <d v="2024-01-17T00:00:00"/>
        <d v="2021-09-06T00:00:00"/>
        <d v="2021-10-06T00:00:00"/>
        <d v="2020-06-07T00:00:00"/>
        <d v="2024-05-21T00:00:00"/>
        <d v="2020-08-05T00:00:00"/>
        <d v="2020-10-15T00:00:00"/>
        <d v="2022-01-13T00:00:00"/>
        <d v="2020-06-23T00:00:00"/>
        <d v="2022-01-20T00:00:00"/>
        <d v="2023-11-18T00:00:00"/>
        <d v="2021-06-11T00:00:00"/>
        <d v="2024-08-07T00:00:00"/>
        <d v="2024-01-13T00:00:00"/>
        <d v="2023-04-25T00:00:00"/>
        <d v="2024-10-12T00:00:00"/>
        <d v="2024-02-07T00:00:00"/>
        <d v="2023-06-25T00:00:00"/>
        <d v="2021-08-02T00:00:00"/>
        <d v="2022-03-17T00:00:00"/>
        <d v="2024-09-19T00:00:00"/>
        <d v="2023-03-10T00:00:00"/>
        <d v="2023-03-16T00:00:00"/>
        <d v="2024-10-15T00:00:00"/>
        <d v="2022-06-09T00:00:00"/>
        <d v="2023-04-09T00:00:00"/>
        <d v="2023-11-24T00:00:00"/>
        <d v="2024-05-20T00:00:00"/>
        <d v="2022-07-13T00:00:00"/>
        <d v="2024-11-14T00:00:00"/>
        <d v="2025-01-14T00:00:00"/>
        <d v="2021-10-05T00:00:00"/>
        <d v="2024-12-28T00:00:00"/>
        <d v="2022-05-14T00:00:00"/>
        <d v="2023-08-19T00:00:00"/>
        <d v="2023-06-22T00:00:00"/>
        <d v="2021-05-25T00:00:00"/>
        <d v="2024-04-02T00:00:00"/>
        <d v="2021-07-12T00:00:00"/>
        <d v="2020-08-09T00:00:00"/>
        <d v="2022-02-18T00:00:00"/>
        <d v="2021-06-14T00:00:00"/>
        <d v="2023-09-23T00:00:00"/>
        <d v="2024-07-31T00:00:00"/>
        <d v="2022-12-15T00:00:00"/>
        <d v="2024-10-26T00:00:00"/>
      </sharedItems>
      <fieldGroup par="11"/>
    </cacheField>
    <cacheField name="Customer Name" numFmtId="0">
      <sharedItems count="543">
        <s v="Robert Stone"/>
        <s v="John Fields"/>
        <s v="Richard Kelley"/>
        <s v="Jacqueline Hubbard"/>
        <s v="Jessica Anderson"/>
        <s v="Mary Taylor"/>
        <s v="Walter Crawford"/>
        <s v="Lawrence Robinson"/>
        <s v="Ricardo Andrews"/>
        <s v="Paul Raymond"/>
        <s v="Karen Johnson"/>
        <s v="Juan Erickson"/>
        <s v="Jacqueline Harris"/>
        <s v="Tyler Park"/>
        <s v="Sierra Rios"/>
        <s v="Kimberly Warren"/>
        <s v="Casey Garcia"/>
        <s v="Denise Hampton"/>
        <s v="Ms. Emily Baxter"/>
        <s v="Morgan Montes"/>
        <s v="Connie Holmes"/>
        <s v="Melissa Peck"/>
        <s v="Heather Jenkins"/>
        <s v="Kelsey Castaneda"/>
        <s v="Paul Rogers"/>
        <s v="Michelle Williams"/>
        <s v="Andrew Allen"/>
        <s v="Vanessa Bauer"/>
        <s v="Shelly Sweeney"/>
        <s v="Emily Gill"/>
        <s v="Kayla Ross"/>
        <s v="Marc Strickland"/>
        <s v="Charles Smith"/>
        <s v="Karen Townsend"/>
        <s v="Steven Cox"/>
        <s v="Jessica Baker"/>
        <s v="Mark Blackburn"/>
        <s v="Zachary Perez"/>
        <s v="Becky Leach"/>
        <s v="Tony Maddox"/>
        <s v="Mrs. Stephanie Hooper"/>
        <s v="Susan Burke"/>
        <s v="Wanda West"/>
        <s v="Renee Solomon"/>
        <s v="Daryl Miles"/>
        <s v="Michael Hunt"/>
        <s v="Stacey Miller"/>
        <s v="Daniel Mosley"/>
        <s v="Monica Gibson"/>
        <s v="Christopher Jordan"/>
        <s v="Claudia Curry"/>
        <s v="Brandon Anderson"/>
        <s v="Nicholas Anderson"/>
        <s v="Michelle Hunter"/>
        <s v="Janet Guerrero"/>
        <s v="Ryan Bullock"/>
        <s v="Tom Lawson"/>
        <s v="Rebecca Smith"/>
        <s v="William Welch"/>
        <s v="Mr. Curtis Bailey"/>
        <s v="Janet Carlson"/>
        <s v="Spencer Spears"/>
        <s v="Veronica Kelley"/>
        <s v="Amy Wilson"/>
        <s v="Susan Ramirez"/>
        <s v="Jacob Meyer"/>
        <s v="Scott Lewis"/>
        <s v="David Figueroa"/>
        <s v="Theresa Medina"/>
        <s v="Mary Smith"/>
        <s v="Shawn Leach"/>
        <s v="John Stevens"/>
        <s v="Lisa Graham"/>
        <s v="Nancy Jones"/>
        <s v="Darryl Robbins"/>
        <s v="Kimberly Smith"/>
        <s v="Nicholas Johnson"/>
        <s v="Dawn Howard"/>
        <s v="Jennifer Marshall"/>
        <s v="Terri Madden"/>
        <s v="James Gutierrez"/>
        <s v="Morgan Sellers"/>
        <s v="Caitlin Thomas"/>
        <s v="Kimberly Greene"/>
        <s v="Tammy Anthony"/>
        <s v="Tyler Thompson"/>
        <s v="Heidi Davis"/>
        <s v="Joyce Good MD"/>
        <s v="Maria Miller"/>
        <s v="Terry Mcdaniel"/>
        <s v="Renee Robinson"/>
        <s v="Nicholas Martin"/>
        <s v="David Brown"/>
        <s v="Amber Moore"/>
        <s v="James Williams"/>
        <s v="Karina Barr"/>
        <s v="Meghan Rush"/>
        <s v="Bianca Brown"/>
        <s v="Timothy Jensen"/>
        <s v="Melinda Montoya"/>
        <s v="Tammy Bell"/>
        <s v="Peter Ward"/>
        <s v="Jonathan Alvarez"/>
        <s v="Larry Hill"/>
        <s v="Cynthia Wilcox"/>
        <s v="Sarah Flores"/>
        <s v="Carol Norman"/>
        <s v="Stephanie Gardner"/>
        <s v="Randall Dennis"/>
        <s v="Suzanne Cross"/>
        <s v="Kristen Harper"/>
        <s v="Kaitlyn Graham MD"/>
        <s v="Dean Avila"/>
        <s v="Megan Mack"/>
        <s v="Heather Johnson"/>
        <s v="Tina Davies"/>
        <s v="Matthew Harris"/>
        <s v="Eric Stevens"/>
        <s v="James Jones"/>
        <s v="Hannah Hendricks"/>
        <s v="Brett Mullins"/>
        <s v="Ms. Kim Jordan"/>
        <s v="Marcus Santiago"/>
        <s v="Jill Perez"/>
        <s v="Jordan Hahn"/>
        <s v="William Cook"/>
        <s v="Stephanie Hayes"/>
        <s v="Melissa Wise"/>
        <s v="Elizabeth Gonzalez"/>
        <s v="Mr. Eric Lopez"/>
        <s v="Benjamin Higgins"/>
        <s v="Michelle Bailey"/>
        <s v="Sara Peterson"/>
        <s v="Katherine Williams"/>
        <s v="Cory Evans"/>
        <s v="Michael Rodriguez"/>
        <s v="John Munoz"/>
        <s v="April Welch"/>
        <s v="Richard Maynard"/>
        <s v="Lawrence Oliver"/>
        <s v="Anthony Williams"/>
        <s v="Lynn Matthews"/>
        <s v="Andrew Griffin"/>
        <s v="Megan Williams"/>
        <s v="Samuel Wallace"/>
        <s v="Manuel Stark"/>
        <s v="William Villarreal"/>
        <s v="Brandon Kirk"/>
        <s v="Kristine Carter"/>
        <s v="Wesley Deleon"/>
        <s v="Laura Cole"/>
        <s v="Lauren Harris"/>
        <s v="Pamela Callahan DVM"/>
        <s v="William Ruiz"/>
        <s v="Paula Marshall"/>
        <s v="Natalie Cox"/>
        <s v="Andrew Fernandez"/>
        <s v="Travis Chandler DDS"/>
        <s v="Russell Austin"/>
        <s v="Collin Cameron"/>
        <s v="Elizabeth Hernandez"/>
        <s v="William Russell"/>
        <s v="Anthony Barnett"/>
        <s v="Rebecca Owen"/>
        <s v="Michael Bell"/>
        <s v="Willie Huynh"/>
        <s v="Samuel Hayes"/>
        <s v="Sherry Tran"/>
        <s v="Heather Gray"/>
        <s v="Micheal Graham"/>
        <s v="Jean Jackson"/>
        <s v="Timothy Murphy"/>
        <s v="Mrs. Jennifer Lewis"/>
        <s v="Christopher Johnson"/>
        <s v="Luis Luna"/>
        <s v="Julie Chavez"/>
        <s v="Richard Blair"/>
        <s v="Mr. John Tyler PhD"/>
        <s v="Morgan Sullivan"/>
        <s v="Eric Clark"/>
        <s v="Mark Padilla"/>
        <s v="Michelle Hardy"/>
        <s v="Ms. Barbara Cervantes"/>
        <s v="Steven Proctor"/>
        <s v="Shannon Patterson"/>
        <s v="William Valdez"/>
        <s v="Laura Yu"/>
        <s v="Jonathan Mcmillan"/>
        <s v="Mark Roy"/>
        <s v="Rebekah Carter"/>
        <s v="Roger Harris"/>
        <s v="Renee Gomez"/>
        <s v="Christian Jones"/>
        <s v="Matthew Kelley"/>
        <s v="Keith Reese"/>
        <s v="Aaron Jones"/>
        <s v="Christopher Brooks"/>
        <s v="Charles Moore"/>
        <s v="Manuel Walls"/>
        <s v="Stephanie Thomas"/>
        <s v="Randy Johnson"/>
        <s v="James Benitez"/>
        <s v="Tiffany Parker"/>
        <s v="Melissa Mcknight"/>
        <s v="Mr. Jack Mercado"/>
        <s v="William Wu"/>
        <s v="Robert Daniels"/>
        <s v="Jill Jones"/>
        <s v="Sabrina Clark"/>
        <s v="James Tanner"/>
        <s v="Richard Lee"/>
        <s v="Tonya Long"/>
        <s v="Michael Chambers"/>
        <s v="Pamela Patterson"/>
        <s v="Ronald Mckinney"/>
        <s v="Rhonda Harris"/>
        <s v="James Hernandez"/>
        <s v="Brenda Murphy"/>
        <s v="Andrew Kirby"/>
        <s v="Justin Thomas"/>
        <s v="William Martin"/>
        <s v="Mark Dixon"/>
        <s v="Cynthia Meyer"/>
        <s v="Christina Scott"/>
        <s v="Andrew Macias"/>
        <s v="Mark Rodriguez"/>
        <s v="Sarah Montgomery"/>
        <s v="Marisa Prince"/>
        <s v="James Bonilla"/>
        <s v="Robin Myers"/>
        <s v="Sydney Walls"/>
        <s v="Deborah Hoffman"/>
        <s v="Shane Clark"/>
        <s v="Steven Haynes"/>
        <s v="Kimberly Fuller"/>
        <s v="Angela Lyons"/>
        <s v="Betty Tucker"/>
        <s v="Cathy Clark"/>
        <s v="Nicole Warren"/>
        <s v="Sarah Torres"/>
        <s v="Vanessa Deleon"/>
        <s v="Richard Lyons"/>
        <s v="Eric Adams"/>
        <s v="Kayla Becker"/>
        <s v="Scott Harris"/>
        <s v="Jesse Bond"/>
        <s v="Lynn Reynolds"/>
        <s v="Ronald Good"/>
        <s v="Kyle Baker"/>
        <s v="Michael Rivera"/>
        <s v="Lori Adkins"/>
        <s v="Luis Warner"/>
        <s v="Donald Perry"/>
        <s v="Adam Stevens"/>
        <s v="Kimberly Johnson"/>
        <s v="Crystal Ross"/>
        <s v="Stephanie Sanchez"/>
        <s v="Sandra Hicks"/>
        <s v="Olivia Orozco"/>
        <s v="Daniel Flowers"/>
        <s v="Randy Acosta"/>
        <s v="Robert Michael"/>
        <s v="Danny Ramirez"/>
        <s v="Stephen Baker"/>
        <s v="Ronald Frey Jr."/>
        <s v="Megan Charles"/>
        <s v="Amy Duran MD"/>
        <s v="Christopher Thomas"/>
        <s v="Peter Castro"/>
        <s v="Steven Acosta"/>
        <s v="Sabrina Hartman"/>
        <s v="Olivia Dickerson"/>
        <s v="Whitney Stout"/>
        <s v="Stephanie Flores"/>
        <s v="Natalie Maxwell"/>
        <s v="Tina Blake"/>
        <s v="Tamara Guzman"/>
        <s v="Marissa Hartman"/>
        <s v="Sara Garcia"/>
        <s v="Kyle Dickson"/>
        <s v="Jacob Decker"/>
        <s v="Aaron Johnson"/>
        <s v="William Morse"/>
        <s v="Vincent Roth"/>
        <s v="Jason Wilson"/>
        <s v="Colin Patterson"/>
        <s v="Steven Keith"/>
        <s v="Seth Rodriguez"/>
        <s v="Thomas Wallace"/>
        <s v="Carol Mitchell"/>
        <s v="John Thompson"/>
        <s v="Debra Rodriguez"/>
        <s v="Erin Vasquez"/>
        <s v="Clayton Lara"/>
        <s v="Tony Ray"/>
        <s v="Marcus Brown"/>
        <s v="Megan Davis"/>
        <s v="Robert Brooks"/>
        <s v="Miguel Alvarez"/>
        <s v="Jennifer Arnold"/>
        <s v="Jessica Blankenship"/>
        <s v="Peggy Campos"/>
        <s v="Craig Ortega"/>
        <s v="Johnny Simon"/>
        <s v="Keith Brooks"/>
        <s v="Jason Martinez"/>
        <s v="Steven Herrera"/>
        <s v="Beverly Lamb"/>
        <s v="Zachary Carpenter"/>
        <s v="Timothy Baker"/>
        <s v="Adam James"/>
        <s v="Katrina Wood"/>
        <s v="Mr. Nathaniel Reeves"/>
        <s v="Jodi Wood"/>
        <s v="Mario Hall"/>
        <s v="Justin Rosales"/>
        <s v="Victoria Duran"/>
        <s v="Dawn Webb"/>
        <s v="Patricia Sanford"/>
        <s v="William Walters"/>
        <s v="Sabrina Buckley"/>
        <s v="Robert Rojas"/>
        <s v="Thomas Matthews"/>
        <s v="Kimberly Beard"/>
        <s v="Lydia Donovan"/>
        <s v="Edward Johnson"/>
        <s v="Ricky Smith"/>
        <s v="Mr. Ralph Garcia Jr."/>
        <s v="Malik Walker"/>
        <s v="Tanya Walker"/>
        <s v="Sherri Ferguson DVM"/>
        <s v="Jim Johnson"/>
        <s v="Michael Jimenez"/>
        <s v="Denise Mcdaniel"/>
        <s v="Kerri Andrews"/>
        <s v="Tiffany Robinson"/>
        <s v="Mr. Gregg Sawyer"/>
        <s v="John Silva"/>
        <s v="Nathan Moss"/>
        <s v="Donald Medina"/>
        <s v="Charles Henderson"/>
        <s v="Brenda Davis"/>
        <s v="Leah Calderon"/>
        <s v="Brandi Vasquez"/>
        <s v="Debra Richards"/>
        <s v="Tammy Day"/>
        <s v="Sheila Clay"/>
        <s v="Nicholas Flores"/>
        <s v="Matthew Gardner"/>
        <s v="Joseph Perkins"/>
        <s v="Jorge George"/>
        <s v="Ann Mooney"/>
        <s v="Kaitlin Garrison"/>
        <s v="Jeremy Jackson"/>
        <s v="Joseph Hooper"/>
        <s v="Ashlee Mills"/>
        <s v="Eddie Gonzales"/>
        <s v="Edward Valencia"/>
        <s v="Emma Bruce"/>
        <s v="Carl Wade DDS"/>
        <s v="Jennifer Clark"/>
        <s v="David Johnson"/>
        <s v="Michael Hanson"/>
        <s v="William Hill"/>
        <s v="Kelsey Huber"/>
        <s v="Hailey Chandler"/>
        <s v="Richard Petersen"/>
        <s v="Kathryn Gray"/>
        <s v="Victor Collins"/>
        <s v="Jason Hernandez"/>
        <s v="Jacob Guzman"/>
        <s v="Mike Armstrong"/>
        <s v="Cindy Rowland"/>
        <s v="Susan Valdez"/>
        <s v="Stephanie Manning"/>
        <s v="Megan Pitts"/>
        <s v="Richard Gardner"/>
        <s v="Samuel Moore"/>
        <s v="Taylor White"/>
        <s v="Jordan Krause"/>
        <s v="Kimberly King"/>
        <s v="Sharon Russell"/>
        <s v="Kevin Cooper"/>
        <s v="Darrell Ramos"/>
        <s v="Dr. Terry Alvarado"/>
        <s v="Kathy Wilson"/>
        <s v="Brandon Le"/>
        <s v="Mary Wright"/>
        <s v="Douglas Reynolds"/>
        <s v="Leroy Harris"/>
        <s v="Ricardo Dixon"/>
        <s v="Jasmine James"/>
        <s v="Felicia Morton"/>
        <s v="Sylvia Jenkins"/>
        <s v="Elizabeth White"/>
        <s v="Steven Steele"/>
        <s v="Amanda Ramirez"/>
        <s v="Kyle Jackson"/>
        <s v="Sharon Wilkins"/>
        <s v="Austin Hammond"/>
        <s v="Jessica Barajas"/>
        <s v="John Williams"/>
        <s v="Rebecca Huff"/>
        <s v="Brian Young"/>
        <s v="Zachary Pierce"/>
        <s v="Nicolas Owen"/>
        <s v="Martha Carney"/>
        <s v="Matthew Parker"/>
        <s v="Paul Bryant"/>
        <s v="Bruce Dennis"/>
        <s v="Joseph Bates"/>
        <s v="Kelly Pacheco"/>
        <s v="Jeffrey Weber"/>
        <s v="Kathleen Cox"/>
        <s v="Robert Martinez"/>
        <s v="Christopher Rogers"/>
        <s v="Roberto Parrish"/>
        <s v="Amber Kennedy"/>
        <s v="Terry Gilbert"/>
        <s v="Robert Mosley"/>
        <s v="Paul Scott"/>
        <s v="Mrs. Lauren Potter DDS"/>
        <s v="James Taylor"/>
        <s v="Shelby Browning"/>
        <s v="Nicholas Tucker"/>
        <s v="Theresa Cline"/>
        <s v="Christine Wheeler"/>
        <s v="Carlos Wells"/>
        <s v="Randall Bell"/>
        <s v="Kendra Mckinney"/>
        <s v="Amanda Kim"/>
        <s v="Vincent Kramer"/>
        <s v="Reginald Hebert"/>
        <s v="Michael Stewart"/>
        <s v="Tara Hughes"/>
        <s v="Sandra Perkins"/>
        <s v="Raymond Reyes"/>
        <s v="Shannon Maynard"/>
        <s v="Maria Carroll"/>
        <s v="Scott Craig"/>
        <s v="Kaitlin Brown"/>
        <s v="William Beck"/>
        <s v="Lisa Lowe"/>
        <s v="Roy Miller"/>
        <s v="Claire Cole"/>
        <s v="Eric Nunez"/>
        <s v="David Bell"/>
        <s v="Patrick Hensley MD"/>
        <s v="Angela Todd"/>
        <s v="Luke Saunders"/>
        <s v="Keith Smith"/>
        <s v="Jesus Hernandez"/>
        <s v="Jason Norman"/>
        <s v="Laura Poole"/>
        <s v="Sarah Wagner"/>
        <s v="Bryan Baird"/>
        <s v="Amy Thompson"/>
        <s v="Ashley Wright"/>
        <s v="Ryan Hale"/>
        <s v="Vanessa Smith"/>
        <s v="Ryan Foster"/>
        <s v="Jonathan Young"/>
        <s v="Debra Townsend"/>
        <s v="Sarah Miller"/>
        <s v="Robert Hill"/>
        <s v="Joshua Rojas"/>
        <s v="Jessica Russell"/>
        <s v="Mary Johnson"/>
        <s v="Jessica Greene"/>
        <s v="Vincent Perez"/>
        <s v="Nancy Keller"/>
        <s v="Michelle Anderson"/>
        <s v="Anthony May"/>
        <s v="Michelle Guerra"/>
        <s v="William Rosario"/>
        <s v="Tony Chavez"/>
        <s v="Mary Crawford"/>
        <s v="Roger Morrison"/>
        <s v="Bethany Harrison"/>
        <s v="Lisa Mcintyre"/>
        <s v="Shawn Wise"/>
        <s v="Carrie Alvarez"/>
        <s v="Matthew James"/>
        <s v="Paul Zimmerman"/>
        <s v="Carl Ryan"/>
        <s v="Kelly Roberts"/>
        <s v="Jack Woods"/>
        <s v="Teresa Perez"/>
        <s v="Amanda Williams"/>
        <s v="Kristen Lawson"/>
        <s v="Jacob Stewart"/>
        <s v="Daniel Brooks"/>
        <s v="Aaron Dunn"/>
        <s v="Raymond Burgess"/>
        <s v="Jennifer Cooke"/>
        <s v="Tyrone White"/>
        <s v="Charles Williams"/>
        <s v="Scott Gibbs"/>
        <s v="Angela Roberts"/>
        <s v="Kyle Hernandez"/>
        <s v="Cynthia Ferguson"/>
        <s v="Matthew Blake"/>
        <s v="Lauren Howell"/>
        <s v="Joseph Wilson"/>
        <s v="Tanner Vance"/>
        <s v="Brent Thomas"/>
        <s v="Harold Mitchell"/>
        <s v="Stephen Hogan"/>
        <s v="Sara Bailey"/>
        <s v="Tanya Thomas MD"/>
        <s v="Maria Galvan"/>
        <s v="Frank Reynolds"/>
        <s v="Aaron Kim"/>
        <s v="David Allen"/>
        <s v="Monica Lee"/>
        <s v="Melissa Mitchell"/>
        <s v="Joshua Murray"/>
        <s v="Cheryl Johnson"/>
        <s v="Lisa Farmer"/>
        <s v="Joseph Clark"/>
        <s v="Lauren Boyer"/>
        <s v="James Hickman"/>
        <s v="Shannon Warren"/>
        <s v="James Perez"/>
        <s v="Jerry Smith"/>
        <s v="Anthony West"/>
        <s v="Amber Flowers"/>
        <s v="Patricia Davis"/>
        <s v="Jasmine Gibbs"/>
        <s v="Nicole Dudley"/>
        <s v="William Carr"/>
        <s v="Jeffrey Dixon"/>
        <s v="Robert Sexton"/>
        <s v="Victoria Bryant MD"/>
        <s v="Nancy Kennedy"/>
        <s v="Isabella Roach"/>
        <s v="Samantha Williams"/>
        <s v="Samuel Little MD"/>
        <s v="Susan Baker"/>
        <s v="Mark Fry"/>
        <s v="Megan Mclean"/>
        <s v="Stephanie Oconnell"/>
        <s v="Andrea Hill"/>
      </sharedItems>
    </cacheField>
    <cacheField name="City" numFmtId="0">
      <sharedItems count="18">
        <s v="Miami"/>
        <s v="Orlando"/>
        <s v="Los Angeles"/>
        <s v="New York City"/>
        <s v="Springfield"/>
        <s v="Rochester"/>
        <s v="San Diego"/>
        <s v="Austin"/>
        <s v="San Francisco"/>
        <s v="Cincinnati"/>
        <s v="Buffalo"/>
        <s v="Tampa"/>
        <s v="Cleveland"/>
        <s v="Peoria"/>
        <s v="Houston"/>
        <s v="Dallas"/>
        <s v="Columbus"/>
        <s v="Chicago"/>
      </sharedItems>
    </cacheField>
    <cacheField name="Category" numFmtId="0">
      <sharedItems count="3">
        <s v="Electronics"/>
        <s v="Office Supplies"/>
        <s v="Furniture"/>
      </sharedItems>
    </cacheField>
    <cacheField name="Quantity" numFmtId="0">
      <sharedItems containsSemiMixedTypes="0" containsString="0" containsNumber="1" containsInteger="1" minValue="1" maxValue="198" count="78">
        <n v="57"/>
        <n v="24"/>
        <n v="26"/>
        <n v="19"/>
        <n v="14"/>
        <n v="25"/>
        <n v="28"/>
        <n v="8"/>
        <n v="2"/>
        <n v="39"/>
        <n v="46"/>
        <n v="17"/>
        <n v="40"/>
        <n v="15"/>
        <n v="16"/>
        <n v="27"/>
        <n v="75"/>
        <n v="44"/>
        <n v="18"/>
        <n v="12"/>
        <n v="64"/>
        <n v="37"/>
        <n v="36"/>
        <n v="60"/>
        <n v="20"/>
        <n v="32"/>
        <n v="45"/>
        <n v="7"/>
        <n v="52"/>
        <n v="54"/>
        <n v="48"/>
        <n v="81"/>
        <n v="68"/>
        <n v="11"/>
        <n v="33"/>
        <n v="70"/>
        <n v="129"/>
        <n v="22"/>
        <n v="42"/>
        <n v="9"/>
        <n v="69"/>
        <n v="13"/>
        <n v="1"/>
        <n v="10"/>
        <n v="66"/>
        <n v="6"/>
        <n v="4"/>
        <n v="99"/>
        <n v="30"/>
        <n v="29"/>
        <n v="47"/>
        <n v="62"/>
        <n v="5"/>
        <n v="34"/>
        <n v="72"/>
        <n v="3"/>
        <n v="138"/>
        <n v="43"/>
        <n v="50"/>
        <n v="31"/>
        <n v="35"/>
        <n v="90"/>
        <n v="21"/>
        <n v="84"/>
        <n v="78"/>
        <n v="38"/>
        <n v="100"/>
        <n v="56"/>
        <n v="58"/>
        <n v="63"/>
        <n v="108"/>
        <n v="112"/>
        <n v="198"/>
        <n v="51"/>
        <n v="76"/>
        <n v="96"/>
        <n v="80"/>
        <n v="132"/>
      </sharedItems>
    </cacheField>
    <cacheField name="Amount" numFmtId="0">
      <sharedItems containsSemiMixedTypes="0" containsString="0" containsNumber="1" containsInteger="1" minValue="528" maxValue="14055"/>
    </cacheField>
    <cacheField name="Total Sales" numFmtId="0">
      <sharedItems containsSemiMixedTypes="0" containsString="0" containsNumber="1" containsInteger="1" minValue="2133" maxValue="1199265"/>
    </cacheField>
    <cacheField name="Total Profit" numFmtId="0">
      <sharedItems containsSemiMixedTypes="0" containsString="0" containsNumber="1" containsInteger="1" minValue="52" maxValue="21348"/>
    </cacheField>
    <cacheField name="Months (Order Date)" numFmtId="0" databaseField="0">
      <fieldGroup base="1">
        <rangePr groupBy="months" startDate="2020-03-23T00:00:00" endDate="2025-03-16T00:00:00"/>
        <groupItems count="14">
          <s v="&lt;23-03-2020"/>
          <s v="Jan"/>
          <s v="Feb"/>
          <s v="Mar"/>
          <s v="Apr"/>
          <s v="May"/>
          <s v="Jun"/>
          <s v="Jul"/>
          <s v="Aug"/>
          <s v="Sep"/>
          <s v="Oct"/>
          <s v="Nov"/>
          <s v="Dec"/>
          <s v="&gt;16-03-2025"/>
        </groupItems>
      </fieldGroup>
    </cacheField>
    <cacheField name="Quarters (Order Date)" numFmtId="0" databaseField="0">
      <fieldGroup base="1">
        <rangePr groupBy="quarters" startDate="2020-03-23T00:00:00" endDate="2025-03-16T00:00:00"/>
        <groupItems count="6">
          <s v="&lt;23-03-2020"/>
          <s v="Qtr1"/>
          <s v="Qtr2"/>
          <s v="Qtr3"/>
          <s v="Qtr4"/>
          <s v="&gt;16-03-2025"/>
        </groupItems>
      </fieldGroup>
    </cacheField>
    <cacheField name="Years (Order Date)" numFmtId="0" databaseField="0">
      <fieldGroup base="1">
        <rangePr groupBy="years" startDate="2020-03-23T00:00:00" endDate="2025-03-16T00:00:00"/>
        <groupItems count="8">
          <s v="&lt;23-03-2020"/>
          <s v="2020"/>
          <s v="2021"/>
          <s v="2022"/>
          <s v="2023"/>
          <s v="2024"/>
          <s v="2025"/>
          <s v="&gt;16-03-2025"/>
        </groupItems>
      </fieldGroup>
    </cacheField>
  </cacheFields>
  <extLst>
    <ext xmlns:x14="http://schemas.microsoft.com/office/spreadsheetml/2009/9/main" uri="{725AE2AE-9491-48be-B2B4-4EB974FC3084}">
      <x14:pivotCacheDefinition pivotCacheId="21133794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lnad P D" refreshedDate="46168.091637962963" backgroundQuery="1" createdVersion="8" refreshedVersion="8" minRefreshableVersion="3" recordCount="0" supportSubquery="1" supportAdvancedDrill="1" xr:uid="{F885BDEC-2647-4047-B8AC-E827F1ED7067}">
  <cacheSource type="external" connectionId="2"/>
  <cacheFields count="5">
    <cacheField name="[Measures].[Sum of Total Profit]" caption="Sum of Total Profit" numFmtId="0" hierarchy="14" level="32767"/>
    <cacheField name="[Measures].[total customers]" caption="total customers" numFmtId="0" hierarchy="9" level="32767"/>
    <cacheField name="[Measures].[Sum of Total Sales]" caption="Sum of Total Sales" numFmtId="0" hierarchy="15" level="32767"/>
    <cacheField name="[Measures].[Total Orders]" caption="Total Orders" numFmtId="0" hierarchy="10" level="32767"/>
    <cacheField name="[Measures].[Sum of Quantity]" caption="Sum of Quantity" numFmtId="0" hierarchy="17" level="32767"/>
  </cacheFields>
  <cacheHierarchies count="18">
    <cacheHierarchy uniqueName="[Sales_Dataset].[Order ID]" caption="Order ID" attribute="1" defaultMemberUniqueName="[Sales_Dataset].[Order ID].[All]" allUniqueName="[Sales_Dataset].[Order ID].[All]" dimensionUniqueName="[Sales_Dataset]" displayFolder="" count="0" memberValueDatatype="130" unbalanced="0"/>
    <cacheHierarchy uniqueName="[Sales_Dataset].[Order Date]" caption="Order Date" attribute="1" time="1" defaultMemberUniqueName="[Sales_Dataset].[Order Date].[All]" allUniqueName="[Sales_Dataset].[Order Date].[All]" dimensionUniqueName="[Sales_Dataset]" displayFolder="" count="0" memberValueDatatype="7" unbalanced="0"/>
    <cacheHierarchy uniqueName="[Sales_Dataset].[Customer Name]" caption="Customer Name" attribute="1" defaultMemberUniqueName="[Sales_Dataset].[Customer Name].[All]" allUniqueName="[Sales_Dataset].[Customer Name].[All]" dimensionUniqueName="[Sales_Dataset]" displayFolder="" count="0" memberValueDatatype="130" unbalanced="0"/>
    <cacheHierarchy uniqueName="[Sales_Dataset].[City]" caption="City" attribute="1" defaultMemberUniqueName="[Sales_Dataset].[City].[All]" allUniqueName="[Sales_Dataset].[City].[All]" dimensionUniqueName="[Sales_Dataset]" displayFolder="" count="0" memberValueDatatype="130" unbalanced="0"/>
    <cacheHierarchy uniqueName="[Sales_Dataset].[Category]" caption="Category" attribute="1" defaultMemberUniqueName="[Sales_Dataset].[Category].[All]" allUniqueName="[Sales_Dataset].[Category].[All]" dimensionUniqueName="[Sales_Dataset]" displayFolder="" count="0" memberValueDatatype="130" unbalanced="0"/>
    <cacheHierarchy uniqueName="[Sales_Dataset].[Quantity]" caption="Quantity" attribute="1" defaultMemberUniqueName="[Sales_Dataset].[Quantity].[All]" allUniqueName="[Sales_Dataset].[Quantity].[All]" dimensionUniqueName="[Sales_Dataset]" displayFolder="" count="0" memberValueDatatype="20" unbalanced="0"/>
    <cacheHierarchy uniqueName="[Sales_Dataset].[Amount]" caption="Amount" attribute="1" defaultMemberUniqueName="[Sales_Dataset].[Amount].[All]" allUniqueName="[Sales_Dataset].[Amount].[All]" dimensionUniqueName="[Sales_Dataset]" displayFolder="" count="0" memberValueDatatype="20" unbalanced="0"/>
    <cacheHierarchy uniqueName="[Sales_Dataset].[Total Sales]" caption="Total Sales" attribute="1" defaultMemberUniqueName="[Sales_Dataset].[Total Sales].[All]" allUniqueName="[Sales_Dataset].[Total Sales].[All]" dimensionUniqueName="[Sales_Dataset]" displayFolder="" count="0" memberValueDatatype="20" unbalanced="0"/>
    <cacheHierarchy uniqueName="[Sales_Dataset].[Total Profit]" caption="Total Profit" attribute="1" defaultMemberUniqueName="[Sales_Dataset].[Total Profit].[All]" allUniqueName="[Sales_Dataset].[Total Profit].[All]" dimensionUniqueName="[Sales_Dataset]" displayFolder="" count="0" memberValueDatatype="20" unbalanced="0"/>
    <cacheHierarchy uniqueName="[Measures].[total customers]" caption="total customers" measure="1" displayFolder="" measureGroup="Sales_Dataset" count="0" oneField="1">
      <fieldsUsage count="1">
        <fieldUsage x="1"/>
      </fieldsUsage>
    </cacheHierarchy>
    <cacheHierarchy uniqueName="[Measures].[Total Orders]" caption="Total Orders" measure="1" displayFolder="" measureGroup="Sales_Dataset" count="0" oneField="1">
      <fieldsUsage count="1">
        <fieldUsage x="3"/>
      </fieldsUsage>
    </cacheHierarchy>
    <cacheHierarchy uniqueName="[Measures].[Avg Order Value]" caption="Avg Order Value" measure="1" displayFolder="" measureGroup="Sales_Dataset" count="0"/>
    <cacheHierarchy uniqueName="[Measures].[__XL_Count Sales_Dataset]" caption="__XL_Count Sales_Dataset" measure="1" displayFolder="" measureGroup="Sales_Dataset" count="0" hidden="1"/>
    <cacheHierarchy uniqueName="[Measures].[__No measures defined]" caption="__No measures defined" measure="1" displayFolder="" count="0" hidden="1"/>
    <cacheHierarchy uniqueName="[Measures].[Sum of Total Profit]" caption="Sum of Total Profit" measure="1" displayFolder="" measureGroup="Sales_Dataset"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Total Sales]" caption="Sum of Total Sales" measure="1" displayFolder="" measureGroup="Sales_Dataset"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Amount]" caption="Sum of Amount" measure="1" displayFolder="" measureGroup="Sales_Dataset"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Sales_Dataset" count="0" oneField="1" hidden="1">
      <fieldsUsage count="1">
        <fieldUsage x="4"/>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_Dataset" uniqueName="[Sales_Dataset]" caption="Sales_Dataset"/>
  </dimensions>
  <measureGroups count="1">
    <measureGroup name="Sales_Dataset" caption="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7">
  <r>
    <s v="B-26776"/>
    <x v="0"/>
    <x v="0"/>
    <x v="0"/>
    <x v="0"/>
    <x v="0"/>
    <n v="6362"/>
    <n v="362655"/>
    <n v="7815"/>
  </r>
  <r>
    <s v="B-26942"/>
    <x v="1"/>
    <x v="1"/>
    <x v="1"/>
    <x v="1"/>
    <x v="1"/>
    <n v="1540"/>
    <n v="36970"/>
    <n v="370"/>
  </r>
  <r>
    <s v="B-26640"/>
    <x v="2"/>
    <x v="2"/>
    <x v="2"/>
    <x v="2"/>
    <x v="2"/>
    <n v="5482"/>
    <n v="142530"/>
    <n v="3668"/>
  </r>
  <r>
    <s v="B-25890"/>
    <x v="3"/>
    <x v="3"/>
    <x v="3"/>
    <x v="2"/>
    <x v="3"/>
    <n v="2555"/>
    <n v="48538"/>
    <n v="734"/>
  </r>
  <r>
    <s v="B-25102"/>
    <x v="4"/>
    <x v="4"/>
    <x v="3"/>
    <x v="1"/>
    <x v="4"/>
    <n v="3008"/>
    <n v="42112"/>
    <n v="462"/>
  </r>
  <r>
    <s v="B-25426"/>
    <x v="5"/>
    <x v="5"/>
    <x v="1"/>
    <x v="1"/>
    <x v="5"/>
    <n v="5375"/>
    <n v="134384"/>
    <n v="3936"/>
  </r>
  <r>
    <s v="B-25238"/>
    <x v="6"/>
    <x v="6"/>
    <x v="4"/>
    <x v="1"/>
    <x v="6"/>
    <n v="7585"/>
    <n v="212378"/>
    <n v="1360"/>
  </r>
  <r>
    <s v="B-25051"/>
    <x v="7"/>
    <x v="7"/>
    <x v="5"/>
    <x v="1"/>
    <x v="7"/>
    <n v="2696"/>
    <n v="21570"/>
    <n v="2818"/>
  </r>
  <r>
    <s v="B-26510"/>
    <x v="8"/>
    <x v="8"/>
    <x v="6"/>
    <x v="1"/>
    <x v="8"/>
    <n v="1894"/>
    <n v="3788"/>
    <n v="530"/>
  </r>
  <r>
    <s v="B-25104"/>
    <x v="9"/>
    <x v="9"/>
    <x v="6"/>
    <x v="1"/>
    <x v="9"/>
    <n v="5977"/>
    <n v="233094"/>
    <n v="3865"/>
  </r>
  <r>
    <s v="B-25553"/>
    <x v="10"/>
    <x v="10"/>
    <x v="5"/>
    <x v="1"/>
    <x v="10"/>
    <n v="7146"/>
    <n v="328714"/>
    <n v="2130"/>
  </r>
  <r>
    <s v="B-26703"/>
    <x v="11"/>
    <x v="11"/>
    <x v="7"/>
    <x v="0"/>
    <x v="11"/>
    <n v="4313"/>
    <n v="73323"/>
    <n v="1821"/>
  </r>
  <r>
    <s v="B-26232"/>
    <x v="12"/>
    <x v="12"/>
    <x v="8"/>
    <x v="1"/>
    <x v="12"/>
    <n v="5278"/>
    <n v="211120"/>
    <n v="2360"/>
  </r>
  <r>
    <s v="B-25394"/>
    <x v="13"/>
    <x v="13"/>
    <x v="8"/>
    <x v="1"/>
    <x v="12"/>
    <n v="3724"/>
    <n v="148960"/>
    <n v="1520"/>
  </r>
  <r>
    <s v="B-26157"/>
    <x v="14"/>
    <x v="14"/>
    <x v="1"/>
    <x v="1"/>
    <x v="13"/>
    <n v="8603"/>
    <n v="129047"/>
    <n v="2160"/>
  </r>
  <r>
    <s v="B-25555"/>
    <x v="15"/>
    <x v="15"/>
    <x v="6"/>
    <x v="2"/>
    <x v="10"/>
    <n v="4628"/>
    <n v="212894"/>
    <n v="5428"/>
  </r>
  <r>
    <s v="B-26139"/>
    <x v="16"/>
    <x v="16"/>
    <x v="1"/>
    <x v="2"/>
    <x v="14"/>
    <n v="4006"/>
    <n v="64095"/>
    <n v="1593"/>
  </r>
  <r>
    <s v="B-25032"/>
    <x v="17"/>
    <x v="17"/>
    <x v="8"/>
    <x v="1"/>
    <x v="15"/>
    <n v="6618"/>
    <n v="178691"/>
    <n v="7046"/>
  </r>
  <r>
    <s v="B-25730"/>
    <x v="18"/>
    <x v="18"/>
    <x v="5"/>
    <x v="1"/>
    <x v="16"/>
    <n v="4714"/>
    <n v="353556"/>
    <n v="8511"/>
  </r>
  <r>
    <s v="B-26470"/>
    <x v="0"/>
    <x v="19"/>
    <x v="6"/>
    <x v="2"/>
    <x v="17"/>
    <n v="6231"/>
    <n v="274168"/>
    <n v="6348"/>
  </r>
  <r>
    <s v="B-25988"/>
    <x v="19"/>
    <x v="20"/>
    <x v="9"/>
    <x v="2"/>
    <x v="18"/>
    <n v="2499"/>
    <n v="44982"/>
    <n v="648"/>
  </r>
  <r>
    <s v="B-25568"/>
    <x v="20"/>
    <x v="21"/>
    <x v="0"/>
    <x v="2"/>
    <x v="19"/>
    <n v="7939"/>
    <n v="95270"/>
    <n v="1538"/>
  </r>
  <r>
    <s v="B-26730"/>
    <x v="21"/>
    <x v="12"/>
    <x v="1"/>
    <x v="2"/>
    <x v="20"/>
    <n v="5531"/>
    <n v="353988"/>
    <n v="10710"/>
  </r>
  <r>
    <s v="B-25372"/>
    <x v="22"/>
    <x v="22"/>
    <x v="10"/>
    <x v="2"/>
    <x v="21"/>
    <n v="2895"/>
    <n v="107105"/>
    <n v="2382"/>
  </r>
  <r>
    <s v="B-26026"/>
    <x v="23"/>
    <x v="23"/>
    <x v="2"/>
    <x v="1"/>
    <x v="22"/>
    <n v="2626"/>
    <n v="94532"/>
    <n v="3472"/>
  </r>
  <r>
    <s v="B-25295"/>
    <x v="24"/>
    <x v="24"/>
    <x v="0"/>
    <x v="1"/>
    <x v="11"/>
    <n v="6560"/>
    <n v="111520"/>
    <n v="695"/>
  </r>
  <r>
    <s v="B-26121"/>
    <x v="25"/>
    <x v="25"/>
    <x v="11"/>
    <x v="2"/>
    <x v="8"/>
    <n v="1181"/>
    <n v="2362"/>
    <n v="110"/>
  </r>
  <r>
    <s v="B-25560"/>
    <x v="26"/>
    <x v="26"/>
    <x v="6"/>
    <x v="1"/>
    <x v="21"/>
    <n v="5512"/>
    <n v="203931"/>
    <n v="6345"/>
  </r>
  <r>
    <s v="B-26076"/>
    <x v="27"/>
    <x v="27"/>
    <x v="12"/>
    <x v="1"/>
    <x v="23"/>
    <n v="6624"/>
    <n v="397468"/>
    <n v="8686"/>
  </r>
  <r>
    <s v="B-25872"/>
    <x v="28"/>
    <x v="28"/>
    <x v="3"/>
    <x v="1"/>
    <x v="24"/>
    <n v="2927"/>
    <n v="58537"/>
    <n v="1897"/>
  </r>
  <r>
    <s v="B-26185"/>
    <x v="29"/>
    <x v="29"/>
    <x v="11"/>
    <x v="0"/>
    <x v="13"/>
    <n v="1736"/>
    <n v="26046"/>
    <n v="2181"/>
  </r>
  <r>
    <s v="B-26259"/>
    <x v="30"/>
    <x v="30"/>
    <x v="13"/>
    <x v="2"/>
    <x v="24"/>
    <n v="1819"/>
    <n v="36384"/>
    <n v="1244"/>
  </r>
  <r>
    <s v="B-25142"/>
    <x v="31"/>
    <x v="31"/>
    <x v="1"/>
    <x v="2"/>
    <x v="24"/>
    <n v="6517"/>
    <n v="130343"/>
    <n v="718"/>
  </r>
  <r>
    <s v="B-25326"/>
    <x v="32"/>
    <x v="32"/>
    <x v="0"/>
    <x v="2"/>
    <x v="25"/>
    <n v="5595"/>
    <n v="179050"/>
    <n v="554"/>
  </r>
  <r>
    <s v="B-26795"/>
    <x v="33"/>
    <x v="33"/>
    <x v="14"/>
    <x v="1"/>
    <x v="26"/>
    <n v="6153"/>
    <n v="276878"/>
    <n v="5432"/>
  </r>
  <r>
    <s v="B-25660"/>
    <x v="34"/>
    <x v="34"/>
    <x v="5"/>
    <x v="2"/>
    <x v="7"/>
    <n v="8313"/>
    <n v="66506"/>
    <n v="5746"/>
  </r>
  <r>
    <s v="B-25410"/>
    <x v="35"/>
    <x v="35"/>
    <x v="7"/>
    <x v="2"/>
    <x v="27"/>
    <n v="1996"/>
    <n v="13972"/>
    <n v="294"/>
  </r>
  <r>
    <s v="B-25690"/>
    <x v="36"/>
    <x v="36"/>
    <x v="15"/>
    <x v="0"/>
    <x v="24"/>
    <n v="528"/>
    <n v="10555"/>
    <n v="95"/>
  </r>
  <r>
    <s v="B-26464"/>
    <x v="37"/>
    <x v="37"/>
    <x v="6"/>
    <x v="2"/>
    <x v="28"/>
    <n v="7513"/>
    <n v="390662"/>
    <n v="9246"/>
  </r>
  <r>
    <s v="B-26454"/>
    <x v="38"/>
    <x v="38"/>
    <x v="0"/>
    <x v="2"/>
    <x v="11"/>
    <n v="9143"/>
    <n v="155439"/>
    <n v="586"/>
  </r>
  <r>
    <s v="B-26742"/>
    <x v="39"/>
    <x v="39"/>
    <x v="8"/>
    <x v="0"/>
    <x v="29"/>
    <n v="5031"/>
    <n v="271650"/>
    <n v="2702"/>
  </r>
  <r>
    <s v="B-25510"/>
    <x v="40"/>
    <x v="40"/>
    <x v="8"/>
    <x v="2"/>
    <x v="30"/>
    <n v="2486"/>
    <n v="119312"/>
    <n v="368"/>
  </r>
  <r>
    <s v="B-25936"/>
    <x v="41"/>
    <x v="41"/>
    <x v="5"/>
    <x v="1"/>
    <x v="31"/>
    <n v="10159"/>
    <n v="822867"/>
    <n v="21348"/>
  </r>
  <r>
    <s v="B-25884"/>
    <x v="42"/>
    <x v="42"/>
    <x v="8"/>
    <x v="2"/>
    <x v="32"/>
    <n v="9460"/>
    <n v="643270"/>
    <n v="8770"/>
  </r>
  <r>
    <s v="B-26287"/>
    <x v="43"/>
    <x v="43"/>
    <x v="11"/>
    <x v="1"/>
    <x v="33"/>
    <n v="3391"/>
    <n v="37298"/>
    <n v="3394"/>
  </r>
  <r>
    <s v="B-26564"/>
    <x v="44"/>
    <x v="44"/>
    <x v="1"/>
    <x v="1"/>
    <x v="2"/>
    <n v="6227"/>
    <n v="161892"/>
    <n v="2542"/>
  </r>
  <r>
    <s v="B-26293"/>
    <x v="45"/>
    <x v="45"/>
    <x v="15"/>
    <x v="2"/>
    <x v="11"/>
    <n v="6795"/>
    <n v="115509"/>
    <n v="5601"/>
  </r>
  <r>
    <s v="B-25915"/>
    <x v="46"/>
    <x v="46"/>
    <x v="4"/>
    <x v="1"/>
    <x v="34"/>
    <n v="3716"/>
    <n v="122628"/>
    <n v="7977"/>
  </r>
  <r>
    <s v="B-26496"/>
    <x v="47"/>
    <x v="47"/>
    <x v="2"/>
    <x v="1"/>
    <x v="0"/>
    <n v="2708"/>
    <n v="154351"/>
    <n v="3389"/>
  </r>
  <r>
    <s v="B-25856"/>
    <x v="48"/>
    <x v="48"/>
    <x v="4"/>
    <x v="1"/>
    <x v="4"/>
    <n v="6948"/>
    <n v="97265"/>
    <n v="3430"/>
  </r>
  <r>
    <s v="B-26899"/>
    <x v="49"/>
    <x v="49"/>
    <x v="16"/>
    <x v="1"/>
    <x v="18"/>
    <n v="9148"/>
    <n v="164655"/>
    <n v="4401"/>
  </r>
  <r>
    <s v="B-25916"/>
    <x v="50"/>
    <x v="50"/>
    <x v="17"/>
    <x v="2"/>
    <x v="35"/>
    <n v="6187"/>
    <n v="433076"/>
    <n v="6896"/>
  </r>
  <r>
    <s v="B-26428"/>
    <x v="51"/>
    <x v="51"/>
    <x v="7"/>
    <x v="0"/>
    <x v="33"/>
    <n v="724"/>
    <n v="7963"/>
    <n v="197"/>
  </r>
  <r>
    <s v="B-26332"/>
    <x v="52"/>
    <x v="52"/>
    <x v="1"/>
    <x v="1"/>
    <x v="36"/>
    <n v="9297"/>
    <n v="1199265"/>
    <n v="20544"/>
  </r>
  <r>
    <s v="B-25303"/>
    <x v="53"/>
    <x v="53"/>
    <x v="9"/>
    <x v="2"/>
    <x v="37"/>
    <n v="792"/>
    <n v="17422"/>
    <n v="482"/>
  </r>
  <r>
    <s v="B-26507"/>
    <x v="54"/>
    <x v="54"/>
    <x v="5"/>
    <x v="2"/>
    <x v="24"/>
    <n v="9975"/>
    <n v="199498"/>
    <n v="1598"/>
  </r>
  <r>
    <s v="B-25983"/>
    <x v="55"/>
    <x v="55"/>
    <x v="11"/>
    <x v="1"/>
    <x v="38"/>
    <n v="3806"/>
    <n v="159852"/>
    <n v="3860"/>
  </r>
  <r>
    <s v="B-25156"/>
    <x v="56"/>
    <x v="56"/>
    <x v="10"/>
    <x v="2"/>
    <x v="14"/>
    <n v="9870"/>
    <n v="157913"/>
    <n v="793"/>
  </r>
  <r>
    <s v="B-26759"/>
    <x v="57"/>
    <x v="57"/>
    <x v="15"/>
    <x v="1"/>
    <x v="6"/>
    <n v="5722"/>
    <n v="160229"/>
    <n v="2905"/>
  </r>
  <r>
    <s v="B-26244"/>
    <x v="58"/>
    <x v="58"/>
    <x v="1"/>
    <x v="1"/>
    <x v="39"/>
    <n v="7560"/>
    <n v="68043"/>
    <n v="3881"/>
  </r>
  <r>
    <s v="B-26365"/>
    <x v="59"/>
    <x v="59"/>
    <x v="11"/>
    <x v="1"/>
    <x v="15"/>
    <n v="3572"/>
    <n v="96442"/>
    <n v="713"/>
  </r>
  <r>
    <s v="B-26212"/>
    <x v="60"/>
    <x v="60"/>
    <x v="0"/>
    <x v="1"/>
    <x v="3"/>
    <n v="8874"/>
    <n v="168597"/>
    <n v="1545"/>
  </r>
  <r>
    <s v="B-25042"/>
    <x v="61"/>
    <x v="61"/>
    <x v="17"/>
    <x v="1"/>
    <x v="7"/>
    <n v="8946"/>
    <n v="71569"/>
    <n v="3115"/>
  </r>
  <r>
    <s v="B-25901"/>
    <x v="62"/>
    <x v="62"/>
    <x v="4"/>
    <x v="1"/>
    <x v="40"/>
    <n v="8722"/>
    <n v="601785"/>
    <n v="17991"/>
  </r>
  <r>
    <s v="B-26747"/>
    <x v="63"/>
    <x v="63"/>
    <x v="2"/>
    <x v="2"/>
    <x v="11"/>
    <n v="1336"/>
    <n v="22711"/>
    <n v="927"/>
  </r>
  <r>
    <s v="B-26698"/>
    <x v="64"/>
    <x v="64"/>
    <x v="12"/>
    <x v="0"/>
    <x v="41"/>
    <n v="1895"/>
    <n v="24637"/>
    <n v="457"/>
  </r>
  <r>
    <s v="B-25841"/>
    <x v="65"/>
    <x v="65"/>
    <x v="13"/>
    <x v="1"/>
    <x v="39"/>
    <n v="1428"/>
    <n v="12853"/>
    <n v="2226"/>
  </r>
  <r>
    <s v="B-26032"/>
    <x v="66"/>
    <x v="66"/>
    <x v="8"/>
    <x v="2"/>
    <x v="16"/>
    <n v="5182"/>
    <n v="388686"/>
    <n v="11379"/>
  </r>
  <r>
    <s v="B-25171"/>
    <x v="67"/>
    <x v="67"/>
    <x v="0"/>
    <x v="1"/>
    <x v="24"/>
    <n v="3285"/>
    <n v="65709"/>
    <n v="1029"/>
  </r>
  <r>
    <s v="B-26939"/>
    <x v="68"/>
    <x v="68"/>
    <x v="4"/>
    <x v="2"/>
    <x v="15"/>
    <n v="7341"/>
    <n v="198198"/>
    <n v="2988"/>
  </r>
  <r>
    <s v="B-26347"/>
    <x v="69"/>
    <x v="69"/>
    <x v="11"/>
    <x v="2"/>
    <x v="4"/>
    <n v="9133"/>
    <n v="127856"/>
    <n v="7652"/>
  </r>
  <r>
    <s v="B-25388"/>
    <x v="70"/>
    <x v="70"/>
    <x v="8"/>
    <x v="2"/>
    <x v="28"/>
    <n v="5217"/>
    <n v="271288"/>
    <n v="8844"/>
  </r>
  <r>
    <s v="B-26419"/>
    <x v="71"/>
    <x v="71"/>
    <x v="8"/>
    <x v="2"/>
    <x v="42"/>
    <n v="3820"/>
    <n v="3820"/>
    <n v="163"/>
  </r>
  <r>
    <s v="B-25157"/>
    <x v="72"/>
    <x v="72"/>
    <x v="13"/>
    <x v="0"/>
    <x v="18"/>
    <n v="6629"/>
    <n v="119320"/>
    <n v="2842"/>
  </r>
  <r>
    <s v="B-25342"/>
    <x v="73"/>
    <x v="73"/>
    <x v="12"/>
    <x v="1"/>
    <x v="11"/>
    <n v="3536"/>
    <n v="60110"/>
    <n v="1903"/>
  </r>
  <r>
    <s v="B-26165"/>
    <x v="74"/>
    <x v="74"/>
    <x v="13"/>
    <x v="0"/>
    <x v="43"/>
    <n v="6951"/>
    <n v="69507"/>
    <n v="2797"/>
  </r>
  <r>
    <s v="B-26571"/>
    <x v="75"/>
    <x v="75"/>
    <x v="4"/>
    <x v="1"/>
    <x v="19"/>
    <n v="9266"/>
    <n v="111191"/>
    <n v="2843"/>
  </r>
  <r>
    <s v="B-25400"/>
    <x v="76"/>
    <x v="76"/>
    <x v="0"/>
    <x v="1"/>
    <x v="44"/>
    <n v="7862"/>
    <n v="518874"/>
    <n v="14396"/>
  </r>
  <r>
    <s v="B-25885"/>
    <x v="77"/>
    <x v="77"/>
    <x v="14"/>
    <x v="1"/>
    <x v="12"/>
    <n v="6922"/>
    <n v="276891"/>
    <n v="7029"/>
  </r>
  <r>
    <s v="B-25004"/>
    <x v="78"/>
    <x v="78"/>
    <x v="8"/>
    <x v="1"/>
    <x v="25"/>
    <n v="10155"/>
    <n v="324946"/>
    <n v="6066"/>
  </r>
  <r>
    <s v="B-26213"/>
    <x v="79"/>
    <x v="79"/>
    <x v="5"/>
    <x v="2"/>
    <x v="43"/>
    <n v="6874"/>
    <n v="68738"/>
    <n v="658"/>
  </r>
  <r>
    <s v="B-25025"/>
    <x v="80"/>
    <x v="80"/>
    <x v="5"/>
    <x v="0"/>
    <x v="2"/>
    <n v="7250"/>
    <n v="188508"/>
    <n v="5886"/>
  </r>
  <r>
    <s v="B-26804"/>
    <x v="81"/>
    <x v="81"/>
    <x v="2"/>
    <x v="1"/>
    <x v="33"/>
    <n v="1184"/>
    <n v="13022"/>
    <n v="1066"/>
  </r>
  <r>
    <s v="B-26797"/>
    <x v="0"/>
    <x v="82"/>
    <x v="3"/>
    <x v="2"/>
    <x v="45"/>
    <n v="2950"/>
    <n v="17703"/>
    <n v="1149"/>
  </r>
  <r>
    <s v="B-26556"/>
    <x v="82"/>
    <x v="83"/>
    <x v="1"/>
    <x v="0"/>
    <x v="46"/>
    <n v="1495"/>
    <n v="5979"/>
    <n v="615"/>
  </r>
  <r>
    <s v="B-25861"/>
    <x v="83"/>
    <x v="84"/>
    <x v="1"/>
    <x v="2"/>
    <x v="47"/>
    <n v="10110"/>
    <n v="1000842"/>
    <n v="19797"/>
  </r>
  <r>
    <s v="B-25112"/>
    <x v="84"/>
    <x v="85"/>
    <x v="14"/>
    <x v="2"/>
    <x v="48"/>
    <n v="7517"/>
    <n v="225504"/>
    <n v="2874"/>
  </r>
  <r>
    <s v="B-25223"/>
    <x v="85"/>
    <x v="86"/>
    <x v="10"/>
    <x v="1"/>
    <x v="7"/>
    <n v="2766"/>
    <n v="22131"/>
    <n v="1385"/>
  </r>
  <r>
    <s v="B-25714"/>
    <x v="86"/>
    <x v="87"/>
    <x v="0"/>
    <x v="0"/>
    <x v="1"/>
    <n v="7248"/>
    <n v="173946"/>
    <n v="6858"/>
  </r>
  <r>
    <s v="B-26607"/>
    <x v="87"/>
    <x v="88"/>
    <x v="10"/>
    <x v="2"/>
    <x v="24"/>
    <n v="1100"/>
    <n v="22001"/>
    <n v="301"/>
  </r>
  <r>
    <s v="B-25038"/>
    <x v="88"/>
    <x v="89"/>
    <x v="3"/>
    <x v="2"/>
    <x v="7"/>
    <n v="909"/>
    <n v="7272"/>
    <n v="1368"/>
  </r>
  <r>
    <s v="B-26672"/>
    <x v="89"/>
    <x v="90"/>
    <x v="16"/>
    <x v="1"/>
    <x v="48"/>
    <n v="1445"/>
    <n v="43353"/>
    <n v="397"/>
  </r>
  <r>
    <s v="B-25747"/>
    <x v="90"/>
    <x v="91"/>
    <x v="11"/>
    <x v="1"/>
    <x v="10"/>
    <n v="5808"/>
    <n v="267154"/>
    <n v="6086"/>
  </r>
  <r>
    <s v="B-26322"/>
    <x v="91"/>
    <x v="92"/>
    <x v="13"/>
    <x v="1"/>
    <x v="8"/>
    <n v="6716"/>
    <n v="13431"/>
    <n v="1563"/>
  </r>
  <r>
    <s v="B-26613"/>
    <x v="92"/>
    <x v="93"/>
    <x v="3"/>
    <x v="1"/>
    <x v="49"/>
    <n v="5643"/>
    <n v="163649"/>
    <n v="3024"/>
  </r>
  <r>
    <s v="B-25413"/>
    <x v="93"/>
    <x v="94"/>
    <x v="8"/>
    <x v="1"/>
    <x v="18"/>
    <n v="2504"/>
    <n v="45069"/>
    <n v="699"/>
  </r>
  <r>
    <s v="B-26466"/>
    <x v="94"/>
    <x v="95"/>
    <x v="15"/>
    <x v="1"/>
    <x v="39"/>
    <n v="5334"/>
    <n v="48009"/>
    <n v="2852"/>
  </r>
  <r>
    <s v="B-26610"/>
    <x v="95"/>
    <x v="96"/>
    <x v="12"/>
    <x v="1"/>
    <x v="7"/>
    <n v="5101"/>
    <n v="40808"/>
    <n v="1152"/>
  </r>
  <r>
    <s v="B-26209"/>
    <x v="96"/>
    <x v="97"/>
    <x v="16"/>
    <x v="1"/>
    <x v="25"/>
    <n v="6559"/>
    <n v="209895"/>
    <n v="3387"/>
  </r>
  <r>
    <s v="B-26622"/>
    <x v="97"/>
    <x v="98"/>
    <x v="1"/>
    <x v="2"/>
    <x v="14"/>
    <n v="6464"/>
    <n v="103425"/>
    <n v="2026"/>
  </r>
  <r>
    <s v="B-26601"/>
    <x v="98"/>
    <x v="99"/>
    <x v="8"/>
    <x v="2"/>
    <x v="22"/>
    <n v="7248"/>
    <n v="260927"/>
    <n v="4527"/>
  </r>
  <r>
    <s v="B-25894"/>
    <x v="99"/>
    <x v="100"/>
    <x v="9"/>
    <x v="2"/>
    <x v="50"/>
    <n v="8063"/>
    <n v="378981"/>
    <n v="6388"/>
  </r>
  <r>
    <s v="B-26969"/>
    <x v="100"/>
    <x v="101"/>
    <x v="5"/>
    <x v="1"/>
    <x v="6"/>
    <n v="7074"/>
    <n v="198064"/>
    <n v="5176"/>
  </r>
  <r>
    <s v="B-26312"/>
    <x v="101"/>
    <x v="102"/>
    <x v="14"/>
    <x v="2"/>
    <x v="51"/>
    <n v="4033"/>
    <n v="250060"/>
    <n v="3210"/>
  </r>
  <r>
    <s v="B-26837"/>
    <x v="102"/>
    <x v="103"/>
    <x v="3"/>
    <x v="1"/>
    <x v="38"/>
    <n v="1098"/>
    <n v="46110"/>
    <n v="974"/>
  </r>
  <r>
    <s v="B-26166"/>
    <x v="103"/>
    <x v="104"/>
    <x v="17"/>
    <x v="1"/>
    <x v="34"/>
    <n v="4360"/>
    <n v="143888"/>
    <n v="2061"/>
  </r>
  <r>
    <s v="B-25695"/>
    <x v="104"/>
    <x v="105"/>
    <x v="4"/>
    <x v="0"/>
    <x v="44"/>
    <n v="1283"/>
    <n v="84690"/>
    <n v="2180"/>
  </r>
  <r>
    <s v="B-26068"/>
    <x v="105"/>
    <x v="106"/>
    <x v="5"/>
    <x v="2"/>
    <x v="52"/>
    <n v="1084"/>
    <n v="5419"/>
    <n v="254"/>
  </r>
  <r>
    <s v="B-26023"/>
    <x v="106"/>
    <x v="107"/>
    <x v="6"/>
    <x v="0"/>
    <x v="3"/>
    <n v="1526"/>
    <n v="29001"/>
    <n v="159"/>
  </r>
  <r>
    <s v="B-26677"/>
    <x v="107"/>
    <x v="108"/>
    <x v="13"/>
    <x v="1"/>
    <x v="46"/>
    <n v="9803"/>
    <n v="39212"/>
    <n v="4888"/>
  </r>
  <r>
    <s v="B-25701"/>
    <x v="108"/>
    <x v="109"/>
    <x v="7"/>
    <x v="1"/>
    <x v="17"/>
    <n v="3955"/>
    <n v="174000"/>
    <n v="3425"/>
  </r>
  <r>
    <s v="B-26523"/>
    <x v="109"/>
    <x v="110"/>
    <x v="17"/>
    <x v="1"/>
    <x v="1"/>
    <n v="5801"/>
    <n v="139220"/>
    <n v="6572"/>
  </r>
  <r>
    <s v="B-25880"/>
    <x v="110"/>
    <x v="111"/>
    <x v="3"/>
    <x v="1"/>
    <x v="39"/>
    <n v="950"/>
    <n v="8554"/>
    <n v="391"/>
  </r>
  <r>
    <s v="B-26898"/>
    <x v="111"/>
    <x v="112"/>
    <x v="9"/>
    <x v="1"/>
    <x v="53"/>
    <n v="4483"/>
    <n v="152436"/>
    <n v="2845"/>
  </r>
  <r>
    <s v="B-26035"/>
    <x v="112"/>
    <x v="113"/>
    <x v="7"/>
    <x v="0"/>
    <x v="18"/>
    <n v="2250"/>
    <n v="40496"/>
    <n v="593"/>
  </r>
  <r>
    <s v="B-25573"/>
    <x v="113"/>
    <x v="114"/>
    <x v="2"/>
    <x v="2"/>
    <x v="42"/>
    <n v="2315"/>
    <n v="2315"/>
    <n v="196"/>
  </r>
  <r>
    <s v="B-25463"/>
    <x v="114"/>
    <x v="115"/>
    <x v="17"/>
    <x v="1"/>
    <x v="39"/>
    <n v="3200"/>
    <n v="28804"/>
    <n v="571"/>
  </r>
  <r>
    <s v="B-26277"/>
    <x v="115"/>
    <x v="116"/>
    <x v="15"/>
    <x v="2"/>
    <x v="14"/>
    <n v="1857"/>
    <n v="29706"/>
    <n v="1133"/>
  </r>
  <r>
    <s v="B-26508"/>
    <x v="116"/>
    <x v="117"/>
    <x v="0"/>
    <x v="1"/>
    <x v="54"/>
    <n v="9781"/>
    <n v="704262"/>
    <n v="13974"/>
  </r>
  <r>
    <s v="B-26723"/>
    <x v="117"/>
    <x v="118"/>
    <x v="14"/>
    <x v="2"/>
    <x v="22"/>
    <n v="5401"/>
    <n v="194438"/>
    <n v="2846"/>
  </r>
  <r>
    <s v="B-25526"/>
    <x v="118"/>
    <x v="119"/>
    <x v="12"/>
    <x v="2"/>
    <x v="4"/>
    <n v="2706"/>
    <n v="37883"/>
    <n v="559"/>
  </r>
  <r>
    <s v="B-25645"/>
    <x v="119"/>
    <x v="120"/>
    <x v="1"/>
    <x v="2"/>
    <x v="46"/>
    <n v="8617"/>
    <n v="34469"/>
    <n v="937"/>
  </r>
  <r>
    <s v="B-25757"/>
    <x v="120"/>
    <x v="121"/>
    <x v="17"/>
    <x v="1"/>
    <x v="46"/>
    <n v="7765"/>
    <n v="31061"/>
    <n v="821"/>
  </r>
  <r>
    <s v="B-26716"/>
    <x v="121"/>
    <x v="122"/>
    <x v="10"/>
    <x v="1"/>
    <x v="1"/>
    <n v="1425"/>
    <n v="34191"/>
    <n v="727"/>
  </r>
  <r>
    <s v="B-25424"/>
    <x v="122"/>
    <x v="123"/>
    <x v="6"/>
    <x v="1"/>
    <x v="26"/>
    <n v="4350"/>
    <n v="195755"/>
    <n v="1537"/>
  </r>
  <r>
    <s v="B-26453"/>
    <x v="123"/>
    <x v="124"/>
    <x v="5"/>
    <x v="0"/>
    <x v="12"/>
    <n v="1242"/>
    <n v="49668"/>
    <n v="428"/>
  </r>
  <r>
    <s v="B-26425"/>
    <x v="124"/>
    <x v="125"/>
    <x v="12"/>
    <x v="1"/>
    <x v="55"/>
    <n v="7734"/>
    <n v="23202"/>
    <n v="2529"/>
  </r>
  <r>
    <s v="B-25843"/>
    <x v="125"/>
    <x v="126"/>
    <x v="7"/>
    <x v="0"/>
    <x v="49"/>
    <n v="7348"/>
    <n v="213088"/>
    <n v="4132"/>
  </r>
  <r>
    <s v="B-25486"/>
    <x v="126"/>
    <x v="127"/>
    <x v="16"/>
    <x v="2"/>
    <x v="4"/>
    <n v="4246"/>
    <n v="59442"/>
    <n v="432"/>
  </r>
  <r>
    <s v="B-26975"/>
    <x v="127"/>
    <x v="128"/>
    <x v="6"/>
    <x v="1"/>
    <x v="0"/>
    <n v="3656"/>
    <n v="208419"/>
    <n v="4611"/>
  </r>
  <r>
    <s v="B-26890"/>
    <x v="128"/>
    <x v="129"/>
    <x v="10"/>
    <x v="0"/>
    <x v="46"/>
    <n v="7727"/>
    <n v="30908"/>
    <n v="1576"/>
  </r>
  <r>
    <s v="B-26125"/>
    <x v="129"/>
    <x v="130"/>
    <x v="5"/>
    <x v="2"/>
    <x v="45"/>
    <n v="5661"/>
    <n v="33964"/>
    <n v="1380"/>
  </r>
  <r>
    <s v="B-26489"/>
    <x v="130"/>
    <x v="131"/>
    <x v="15"/>
    <x v="2"/>
    <x v="56"/>
    <n v="5542"/>
    <n v="764799"/>
    <n v="16785"/>
  </r>
  <r>
    <s v="B-26043"/>
    <x v="131"/>
    <x v="132"/>
    <x v="17"/>
    <x v="1"/>
    <x v="24"/>
    <n v="8868"/>
    <n v="177369"/>
    <n v="1989"/>
  </r>
  <r>
    <s v="B-26557"/>
    <x v="132"/>
    <x v="133"/>
    <x v="1"/>
    <x v="2"/>
    <x v="57"/>
    <n v="8678"/>
    <n v="373159"/>
    <n v="5972"/>
  </r>
  <r>
    <s v="B-25243"/>
    <x v="133"/>
    <x v="134"/>
    <x v="1"/>
    <x v="2"/>
    <x v="58"/>
    <n v="7452"/>
    <n v="372604"/>
    <n v="7790"/>
  </r>
  <r>
    <s v="B-26932"/>
    <x v="134"/>
    <x v="135"/>
    <x v="9"/>
    <x v="1"/>
    <x v="48"/>
    <n v="2927"/>
    <n v="87818"/>
    <n v="434"/>
  </r>
  <r>
    <s v="B-25241"/>
    <x v="135"/>
    <x v="136"/>
    <x v="11"/>
    <x v="1"/>
    <x v="53"/>
    <n v="9942"/>
    <n v="338036"/>
    <n v="1266"/>
  </r>
  <r>
    <s v="B-25044"/>
    <x v="136"/>
    <x v="137"/>
    <x v="4"/>
    <x v="1"/>
    <x v="43"/>
    <n v="3447"/>
    <n v="34470"/>
    <n v="2184"/>
  </r>
  <r>
    <s v="B-26137"/>
    <x v="137"/>
    <x v="138"/>
    <x v="13"/>
    <x v="0"/>
    <x v="24"/>
    <n v="3624"/>
    <n v="72480"/>
    <n v="4020"/>
  </r>
  <r>
    <s v="B-25545"/>
    <x v="138"/>
    <x v="139"/>
    <x v="4"/>
    <x v="2"/>
    <x v="39"/>
    <n v="3913"/>
    <n v="35215"/>
    <n v="115"/>
  </r>
  <r>
    <s v="B-26800"/>
    <x v="139"/>
    <x v="140"/>
    <x v="5"/>
    <x v="1"/>
    <x v="11"/>
    <n v="6849"/>
    <n v="116436"/>
    <n v="2490"/>
  </r>
  <r>
    <s v="B-26987"/>
    <x v="140"/>
    <x v="141"/>
    <x v="15"/>
    <x v="0"/>
    <x v="3"/>
    <n v="7839"/>
    <n v="148937"/>
    <n v="3720"/>
  </r>
  <r>
    <s v="B-26144"/>
    <x v="141"/>
    <x v="142"/>
    <x v="17"/>
    <x v="1"/>
    <x v="59"/>
    <n v="4166"/>
    <n v="129161"/>
    <n v="4432"/>
  </r>
  <r>
    <s v="B-25406"/>
    <x v="142"/>
    <x v="143"/>
    <x v="17"/>
    <x v="1"/>
    <x v="24"/>
    <n v="6038"/>
    <n v="120751"/>
    <n v="431"/>
  </r>
  <r>
    <s v="B-25658"/>
    <x v="143"/>
    <x v="144"/>
    <x v="8"/>
    <x v="1"/>
    <x v="1"/>
    <n v="1307"/>
    <n v="31368"/>
    <n v="408"/>
  </r>
  <r>
    <s v="B-25733"/>
    <x v="144"/>
    <x v="145"/>
    <x v="4"/>
    <x v="0"/>
    <x v="43"/>
    <n v="4738"/>
    <n v="47383"/>
    <n v="1693"/>
  </r>
  <r>
    <s v="B-26993"/>
    <x v="145"/>
    <x v="146"/>
    <x v="1"/>
    <x v="2"/>
    <x v="14"/>
    <n v="3155"/>
    <n v="50479"/>
    <n v="1151"/>
  </r>
  <r>
    <s v="B-26964"/>
    <x v="146"/>
    <x v="147"/>
    <x v="2"/>
    <x v="1"/>
    <x v="48"/>
    <n v="3582"/>
    <n v="107456"/>
    <n v="1796"/>
  </r>
  <r>
    <s v="B-26955"/>
    <x v="147"/>
    <x v="148"/>
    <x v="14"/>
    <x v="1"/>
    <x v="55"/>
    <n v="8502"/>
    <n v="25505"/>
    <n v="3602"/>
  </r>
  <r>
    <s v="B-26059"/>
    <x v="148"/>
    <x v="149"/>
    <x v="4"/>
    <x v="0"/>
    <x v="5"/>
    <n v="5732"/>
    <n v="143302"/>
    <n v="2002"/>
  </r>
  <r>
    <s v="B-26806"/>
    <x v="149"/>
    <x v="150"/>
    <x v="11"/>
    <x v="2"/>
    <x v="55"/>
    <n v="4489"/>
    <n v="13467"/>
    <n v="1386"/>
  </r>
  <r>
    <s v="B-26299"/>
    <x v="150"/>
    <x v="151"/>
    <x v="12"/>
    <x v="2"/>
    <x v="60"/>
    <n v="2798"/>
    <n v="97922"/>
    <n v="2350"/>
  </r>
  <r>
    <s v="B-26743"/>
    <x v="18"/>
    <x v="152"/>
    <x v="16"/>
    <x v="2"/>
    <x v="22"/>
    <n v="7780"/>
    <n v="280095"/>
    <n v="3471"/>
  </r>
  <r>
    <s v="B-26757"/>
    <x v="118"/>
    <x v="153"/>
    <x v="0"/>
    <x v="0"/>
    <x v="11"/>
    <n v="6155"/>
    <n v="104634"/>
    <n v="2498"/>
  </r>
  <r>
    <s v="B-26772"/>
    <x v="151"/>
    <x v="154"/>
    <x v="15"/>
    <x v="2"/>
    <x v="24"/>
    <n v="7474"/>
    <n v="149478"/>
    <n v="2598"/>
  </r>
  <r>
    <s v="B-26088"/>
    <x v="152"/>
    <x v="155"/>
    <x v="1"/>
    <x v="1"/>
    <x v="24"/>
    <n v="7093"/>
    <n v="141858"/>
    <n v="3218"/>
  </r>
  <r>
    <s v="B-26319"/>
    <x v="153"/>
    <x v="156"/>
    <x v="9"/>
    <x v="1"/>
    <x v="38"/>
    <n v="6240"/>
    <n v="262073"/>
    <n v="4533"/>
  </r>
  <r>
    <s v="B-25364"/>
    <x v="154"/>
    <x v="157"/>
    <x v="8"/>
    <x v="0"/>
    <x v="2"/>
    <n v="8851"/>
    <n v="230136"/>
    <n v="5262"/>
  </r>
  <r>
    <s v="B-25655"/>
    <x v="155"/>
    <x v="158"/>
    <x v="3"/>
    <x v="0"/>
    <x v="18"/>
    <n v="4102"/>
    <n v="73834"/>
    <n v="52"/>
  </r>
  <r>
    <s v="B-26864"/>
    <x v="156"/>
    <x v="159"/>
    <x v="8"/>
    <x v="0"/>
    <x v="52"/>
    <n v="2604"/>
    <n v="13019"/>
    <n v="324"/>
  </r>
  <r>
    <s v="B-26019"/>
    <x v="157"/>
    <x v="160"/>
    <x v="1"/>
    <x v="1"/>
    <x v="39"/>
    <n v="10185"/>
    <n v="91667"/>
    <n v="3062"/>
  </r>
  <r>
    <s v="B-25849"/>
    <x v="158"/>
    <x v="161"/>
    <x v="2"/>
    <x v="1"/>
    <x v="14"/>
    <n v="6246"/>
    <n v="99938"/>
    <n v="5126"/>
  </r>
  <r>
    <s v="B-25829"/>
    <x v="159"/>
    <x v="162"/>
    <x v="13"/>
    <x v="2"/>
    <x v="8"/>
    <n v="10943"/>
    <n v="21886"/>
    <n v="2606"/>
  </r>
  <r>
    <s v="B-26065"/>
    <x v="160"/>
    <x v="163"/>
    <x v="4"/>
    <x v="2"/>
    <x v="2"/>
    <n v="8082"/>
    <n v="210142"/>
    <n v="3962"/>
  </r>
  <r>
    <s v="B-25267"/>
    <x v="161"/>
    <x v="164"/>
    <x v="6"/>
    <x v="1"/>
    <x v="52"/>
    <n v="6219"/>
    <n v="31094"/>
    <n v="3064"/>
  </r>
  <r>
    <s v="B-25972"/>
    <x v="162"/>
    <x v="165"/>
    <x v="10"/>
    <x v="2"/>
    <x v="12"/>
    <n v="2730"/>
    <n v="109215"/>
    <n v="375"/>
  </r>
  <r>
    <s v="B-25511"/>
    <x v="163"/>
    <x v="166"/>
    <x v="13"/>
    <x v="1"/>
    <x v="11"/>
    <n v="9576"/>
    <n v="162784"/>
    <n v="6067"/>
  </r>
  <r>
    <s v="B-25744"/>
    <x v="164"/>
    <x v="167"/>
    <x v="10"/>
    <x v="1"/>
    <x v="60"/>
    <n v="5049"/>
    <n v="176723"/>
    <n v="5162"/>
  </r>
  <r>
    <s v="B-26805"/>
    <x v="165"/>
    <x v="168"/>
    <x v="9"/>
    <x v="0"/>
    <x v="3"/>
    <n v="7756"/>
    <n v="147369"/>
    <n v="1753"/>
  </r>
  <r>
    <s v="B-25620"/>
    <x v="166"/>
    <x v="169"/>
    <x v="13"/>
    <x v="2"/>
    <x v="61"/>
    <n v="5231"/>
    <n v="470810"/>
    <n v="10668"/>
  </r>
  <r>
    <s v="B-25325"/>
    <x v="167"/>
    <x v="170"/>
    <x v="8"/>
    <x v="1"/>
    <x v="30"/>
    <n v="5533"/>
    <n v="265565"/>
    <n v="5787"/>
  </r>
  <r>
    <s v="B-25131"/>
    <x v="29"/>
    <x v="171"/>
    <x v="8"/>
    <x v="1"/>
    <x v="62"/>
    <n v="3670"/>
    <n v="77070"/>
    <n v="5176"/>
  </r>
  <r>
    <s v="B-26654"/>
    <x v="168"/>
    <x v="172"/>
    <x v="8"/>
    <x v="1"/>
    <x v="22"/>
    <n v="5322"/>
    <n v="191576"/>
    <n v="4421"/>
  </r>
  <r>
    <s v="B-26195"/>
    <x v="169"/>
    <x v="173"/>
    <x v="5"/>
    <x v="1"/>
    <x v="48"/>
    <n v="890"/>
    <n v="26690"/>
    <n v="470"/>
  </r>
  <r>
    <s v="B-25842"/>
    <x v="170"/>
    <x v="174"/>
    <x v="8"/>
    <x v="1"/>
    <x v="63"/>
    <n v="1813"/>
    <n v="152294"/>
    <n v="1694"/>
  </r>
  <r>
    <s v="B-25851"/>
    <x v="171"/>
    <x v="175"/>
    <x v="9"/>
    <x v="0"/>
    <x v="14"/>
    <n v="3278"/>
    <n v="52453"/>
    <n v="85"/>
  </r>
  <r>
    <s v="B-25427"/>
    <x v="172"/>
    <x v="176"/>
    <x v="0"/>
    <x v="2"/>
    <x v="6"/>
    <n v="8290"/>
    <n v="232110"/>
    <n v="6514"/>
  </r>
  <r>
    <s v="B-26224"/>
    <x v="173"/>
    <x v="177"/>
    <x v="0"/>
    <x v="0"/>
    <x v="64"/>
    <n v="4710"/>
    <n v="367350"/>
    <n v="5853"/>
  </r>
  <r>
    <s v="B-26896"/>
    <x v="174"/>
    <x v="178"/>
    <x v="14"/>
    <x v="0"/>
    <x v="22"/>
    <n v="6576"/>
    <n v="236750"/>
    <n v="3182"/>
  </r>
  <r>
    <s v="B-26469"/>
    <x v="175"/>
    <x v="179"/>
    <x v="1"/>
    <x v="1"/>
    <x v="24"/>
    <n v="7040"/>
    <n v="140797"/>
    <n v="3750"/>
  </r>
  <r>
    <s v="B-26219"/>
    <x v="75"/>
    <x v="180"/>
    <x v="6"/>
    <x v="1"/>
    <x v="12"/>
    <n v="9514"/>
    <n v="380550"/>
    <n v="5110"/>
  </r>
  <r>
    <s v="B-26119"/>
    <x v="176"/>
    <x v="181"/>
    <x v="11"/>
    <x v="1"/>
    <x v="10"/>
    <n v="5269"/>
    <n v="242362"/>
    <n v="5540"/>
  </r>
  <r>
    <s v="B-26988"/>
    <x v="177"/>
    <x v="182"/>
    <x v="5"/>
    <x v="1"/>
    <x v="65"/>
    <n v="4102"/>
    <n v="155888"/>
    <n v="1118"/>
  </r>
  <r>
    <s v="B-25596"/>
    <x v="178"/>
    <x v="183"/>
    <x v="7"/>
    <x v="0"/>
    <x v="24"/>
    <n v="6759"/>
    <n v="135181"/>
    <n v="1041"/>
  </r>
  <r>
    <s v="B-26845"/>
    <x v="179"/>
    <x v="184"/>
    <x v="4"/>
    <x v="1"/>
    <x v="41"/>
    <n v="7647"/>
    <n v="99413"/>
    <n v="184"/>
  </r>
  <r>
    <s v="B-25099"/>
    <x v="180"/>
    <x v="185"/>
    <x v="6"/>
    <x v="1"/>
    <x v="21"/>
    <n v="4027"/>
    <n v="148986"/>
    <n v="4508"/>
  </r>
  <r>
    <s v="B-26153"/>
    <x v="181"/>
    <x v="186"/>
    <x v="14"/>
    <x v="2"/>
    <x v="27"/>
    <n v="5045"/>
    <n v="35317"/>
    <n v="975"/>
  </r>
  <r>
    <s v="B-25060"/>
    <x v="182"/>
    <x v="187"/>
    <x v="10"/>
    <x v="1"/>
    <x v="41"/>
    <n v="3628"/>
    <n v="47167"/>
    <n v="590"/>
  </r>
  <r>
    <s v="B-26572"/>
    <x v="183"/>
    <x v="188"/>
    <x v="8"/>
    <x v="1"/>
    <x v="58"/>
    <n v="4233"/>
    <n v="211646"/>
    <n v="6142"/>
  </r>
  <r>
    <s v="B-25919"/>
    <x v="184"/>
    <x v="189"/>
    <x v="8"/>
    <x v="1"/>
    <x v="13"/>
    <n v="2645"/>
    <n v="39678"/>
    <n v="5988"/>
  </r>
  <r>
    <s v="B-26978"/>
    <x v="185"/>
    <x v="190"/>
    <x v="4"/>
    <x v="1"/>
    <x v="34"/>
    <n v="3489"/>
    <n v="115127"/>
    <n v="3989"/>
  </r>
  <r>
    <s v="B-26554"/>
    <x v="186"/>
    <x v="191"/>
    <x v="11"/>
    <x v="1"/>
    <x v="66"/>
    <n v="4443"/>
    <n v="444272"/>
    <n v="20272"/>
  </r>
  <r>
    <s v="B-26883"/>
    <x v="187"/>
    <x v="192"/>
    <x v="10"/>
    <x v="1"/>
    <x v="41"/>
    <n v="9940"/>
    <n v="129222"/>
    <n v="2459"/>
  </r>
  <r>
    <s v="B-25423"/>
    <x v="188"/>
    <x v="193"/>
    <x v="11"/>
    <x v="0"/>
    <x v="37"/>
    <n v="6626"/>
    <n v="145782"/>
    <n v="5312"/>
  </r>
  <r>
    <s v="B-26324"/>
    <x v="189"/>
    <x v="194"/>
    <x v="7"/>
    <x v="0"/>
    <x v="48"/>
    <n v="6444"/>
    <n v="193320"/>
    <n v="2670"/>
  </r>
  <r>
    <s v="B-26945"/>
    <x v="190"/>
    <x v="195"/>
    <x v="7"/>
    <x v="1"/>
    <x v="15"/>
    <n v="5037"/>
    <n v="135994"/>
    <n v="691"/>
  </r>
  <r>
    <s v="B-26405"/>
    <x v="191"/>
    <x v="196"/>
    <x v="13"/>
    <x v="2"/>
    <x v="18"/>
    <n v="7515"/>
    <n v="135265"/>
    <n v="319"/>
  </r>
  <r>
    <s v="B-26046"/>
    <x v="192"/>
    <x v="197"/>
    <x v="0"/>
    <x v="1"/>
    <x v="9"/>
    <n v="3828"/>
    <n v="149283"/>
    <n v="2527"/>
  </r>
  <r>
    <s v="B-25746"/>
    <x v="193"/>
    <x v="198"/>
    <x v="14"/>
    <x v="1"/>
    <x v="13"/>
    <n v="8333"/>
    <n v="124991"/>
    <n v="1346"/>
  </r>
  <r>
    <s v="B-25232"/>
    <x v="194"/>
    <x v="199"/>
    <x v="6"/>
    <x v="1"/>
    <x v="31"/>
    <n v="5034"/>
    <n v="407793"/>
    <n v="5373"/>
  </r>
  <r>
    <s v="B-25591"/>
    <x v="195"/>
    <x v="200"/>
    <x v="16"/>
    <x v="2"/>
    <x v="48"/>
    <n v="8034"/>
    <n v="241035"/>
    <n v="5858"/>
  </r>
  <r>
    <s v="B-26325"/>
    <x v="196"/>
    <x v="201"/>
    <x v="0"/>
    <x v="0"/>
    <x v="8"/>
    <n v="6644"/>
    <n v="13287"/>
    <n v="2389"/>
  </r>
  <r>
    <s v="B-25251"/>
    <x v="197"/>
    <x v="202"/>
    <x v="14"/>
    <x v="2"/>
    <x v="4"/>
    <n v="2612"/>
    <n v="36574"/>
    <n v="440"/>
  </r>
  <r>
    <s v="B-25464"/>
    <x v="198"/>
    <x v="203"/>
    <x v="2"/>
    <x v="2"/>
    <x v="65"/>
    <n v="3201"/>
    <n v="121628"/>
    <n v="1992"/>
  </r>
  <r>
    <s v="B-26678"/>
    <x v="199"/>
    <x v="204"/>
    <x v="5"/>
    <x v="0"/>
    <x v="8"/>
    <n v="8160"/>
    <n v="16320"/>
    <n v="2452"/>
  </r>
  <r>
    <s v="B-25962"/>
    <x v="3"/>
    <x v="205"/>
    <x v="11"/>
    <x v="1"/>
    <x v="19"/>
    <n v="4592"/>
    <n v="55108"/>
    <n v="4684"/>
  </r>
  <r>
    <s v="B-26586"/>
    <x v="200"/>
    <x v="206"/>
    <x v="2"/>
    <x v="0"/>
    <x v="43"/>
    <n v="2774"/>
    <n v="27738"/>
    <n v="3660"/>
  </r>
  <r>
    <s v="B-26841"/>
    <x v="201"/>
    <x v="207"/>
    <x v="3"/>
    <x v="2"/>
    <x v="6"/>
    <n v="9048"/>
    <n v="253354"/>
    <n v="4448"/>
  </r>
  <r>
    <s v="B-26284"/>
    <x v="202"/>
    <x v="208"/>
    <x v="4"/>
    <x v="0"/>
    <x v="67"/>
    <n v="5298"/>
    <n v="296692"/>
    <n v="8180"/>
  </r>
  <r>
    <s v="B-26478"/>
    <x v="203"/>
    <x v="209"/>
    <x v="14"/>
    <x v="1"/>
    <x v="42"/>
    <n v="2732"/>
    <n v="2732"/>
    <n v="190"/>
  </r>
  <r>
    <s v="B-26679"/>
    <x v="204"/>
    <x v="210"/>
    <x v="8"/>
    <x v="1"/>
    <x v="26"/>
    <n v="5062"/>
    <n v="227772"/>
    <n v="9222"/>
  </r>
  <r>
    <s v="B-26397"/>
    <x v="205"/>
    <x v="211"/>
    <x v="0"/>
    <x v="2"/>
    <x v="22"/>
    <n v="6329"/>
    <n v="227842"/>
    <n v="4642"/>
  </r>
  <r>
    <s v="B-25957"/>
    <x v="114"/>
    <x v="212"/>
    <x v="2"/>
    <x v="0"/>
    <x v="41"/>
    <n v="4502"/>
    <n v="58523"/>
    <n v="413"/>
  </r>
  <r>
    <s v="B-26916"/>
    <x v="206"/>
    <x v="213"/>
    <x v="4"/>
    <x v="1"/>
    <x v="64"/>
    <n v="3210"/>
    <n v="250410"/>
    <n v="2682"/>
  </r>
  <r>
    <s v="B-25925"/>
    <x v="207"/>
    <x v="214"/>
    <x v="17"/>
    <x v="1"/>
    <x v="6"/>
    <n v="5212"/>
    <n v="145950"/>
    <n v="2990"/>
  </r>
  <r>
    <s v="B-25602"/>
    <x v="208"/>
    <x v="215"/>
    <x v="1"/>
    <x v="1"/>
    <x v="18"/>
    <n v="5049"/>
    <n v="90882"/>
    <n v="3528"/>
  </r>
  <r>
    <s v="B-26592"/>
    <x v="16"/>
    <x v="216"/>
    <x v="8"/>
    <x v="1"/>
    <x v="14"/>
    <n v="1450"/>
    <n v="23195"/>
    <n v="1423"/>
  </r>
  <r>
    <s v="B-26251"/>
    <x v="209"/>
    <x v="217"/>
    <x v="8"/>
    <x v="1"/>
    <x v="59"/>
    <n v="6469"/>
    <n v="200545"/>
    <n v="3508"/>
  </r>
  <r>
    <s v="B-25979"/>
    <x v="210"/>
    <x v="218"/>
    <x v="6"/>
    <x v="0"/>
    <x v="8"/>
    <n v="9724"/>
    <n v="19449"/>
    <n v="325"/>
  </r>
  <r>
    <s v="B-25437"/>
    <x v="211"/>
    <x v="219"/>
    <x v="8"/>
    <x v="0"/>
    <x v="45"/>
    <n v="5302"/>
    <n v="31810"/>
    <n v="3682"/>
  </r>
  <r>
    <s v="B-26986"/>
    <x v="212"/>
    <x v="220"/>
    <x v="16"/>
    <x v="0"/>
    <x v="46"/>
    <n v="8020"/>
    <n v="32082"/>
    <n v="482"/>
  </r>
  <r>
    <s v="B-25990"/>
    <x v="195"/>
    <x v="221"/>
    <x v="9"/>
    <x v="1"/>
    <x v="5"/>
    <n v="5684"/>
    <n v="142103"/>
    <n v="5064"/>
  </r>
  <r>
    <s v="B-25222"/>
    <x v="213"/>
    <x v="222"/>
    <x v="11"/>
    <x v="2"/>
    <x v="45"/>
    <n v="4961"/>
    <n v="29766"/>
    <n v="654"/>
  </r>
  <r>
    <s v="B-26402"/>
    <x v="214"/>
    <x v="223"/>
    <x v="11"/>
    <x v="2"/>
    <x v="45"/>
    <n v="4556"/>
    <n v="27337"/>
    <n v="1453"/>
  </r>
  <r>
    <s v="B-26792"/>
    <x v="215"/>
    <x v="224"/>
    <x v="4"/>
    <x v="1"/>
    <x v="45"/>
    <n v="3780"/>
    <n v="22682"/>
    <n v="2954"/>
  </r>
  <r>
    <s v="B-25154"/>
    <x v="216"/>
    <x v="225"/>
    <x v="3"/>
    <x v="1"/>
    <x v="52"/>
    <n v="4140"/>
    <n v="20698"/>
    <n v="813"/>
  </r>
  <r>
    <s v="B-26114"/>
    <x v="217"/>
    <x v="226"/>
    <x v="17"/>
    <x v="0"/>
    <x v="8"/>
    <n v="6940"/>
    <n v="13881"/>
    <n v="1377"/>
  </r>
  <r>
    <s v="B-26485"/>
    <x v="218"/>
    <x v="227"/>
    <x v="10"/>
    <x v="1"/>
    <x v="19"/>
    <n v="9355"/>
    <n v="112261"/>
    <n v="3253"/>
  </r>
  <r>
    <s v="B-26191"/>
    <x v="219"/>
    <x v="228"/>
    <x v="6"/>
    <x v="0"/>
    <x v="13"/>
    <n v="9093"/>
    <n v="136391"/>
    <n v="1481"/>
  </r>
  <r>
    <s v="B-26754"/>
    <x v="220"/>
    <x v="229"/>
    <x v="15"/>
    <x v="1"/>
    <x v="14"/>
    <n v="1100"/>
    <n v="17600"/>
    <n v="176"/>
  </r>
  <r>
    <s v="B-25953"/>
    <x v="221"/>
    <x v="230"/>
    <x v="4"/>
    <x v="1"/>
    <x v="68"/>
    <n v="6203"/>
    <n v="359762"/>
    <n v="5842"/>
  </r>
  <r>
    <s v="B-26516"/>
    <x v="222"/>
    <x v="231"/>
    <x v="0"/>
    <x v="2"/>
    <x v="5"/>
    <n v="8207"/>
    <n v="205183"/>
    <n v="6603"/>
  </r>
  <r>
    <s v="B-26843"/>
    <x v="223"/>
    <x v="143"/>
    <x v="15"/>
    <x v="1"/>
    <x v="22"/>
    <n v="7087"/>
    <n v="255146"/>
    <n v="4513"/>
  </r>
  <r>
    <s v="B-26167"/>
    <x v="224"/>
    <x v="232"/>
    <x v="6"/>
    <x v="2"/>
    <x v="42"/>
    <n v="5998"/>
    <n v="5998"/>
    <n v="655"/>
  </r>
  <r>
    <s v="B-26972"/>
    <x v="34"/>
    <x v="233"/>
    <x v="4"/>
    <x v="1"/>
    <x v="24"/>
    <n v="6972"/>
    <n v="139438"/>
    <n v="318"/>
  </r>
  <r>
    <s v="B-25673"/>
    <x v="225"/>
    <x v="234"/>
    <x v="10"/>
    <x v="2"/>
    <x v="11"/>
    <n v="5447"/>
    <n v="92607"/>
    <n v="2405"/>
  </r>
  <r>
    <s v="B-26587"/>
    <x v="226"/>
    <x v="235"/>
    <x v="3"/>
    <x v="1"/>
    <x v="37"/>
    <n v="8083"/>
    <n v="177834"/>
    <n v="1010"/>
  </r>
  <r>
    <s v="B-26668"/>
    <x v="227"/>
    <x v="236"/>
    <x v="9"/>
    <x v="1"/>
    <x v="13"/>
    <n v="979"/>
    <n v="14686"/>
    <n v="106"/>
  </r>
  <r>
    <s v="B-26906"/>
    <x v="228"/>
    <x v="237"/>
    <x v="11"/>
    <x v="1"/>
    <x v="7"/>
    <n v="3866"/>
    <n v="30924"/>
    <n v="1604"/>
  </r>
  <r>
    <s v="B-25226"/>
    <x v="229"/>
    <x v="238"/>
    <x v="2"/>
    <x v="1"/>
    <x v="8"/>
    <n v="10866"/>
    <n v="21733"/>
    <n v="2117"/>
  </r>
  <r>
    <s v="B-25166"/>
    <x v="230"/>
    <x v="239"/>
    <x v="6"/>
    <x v="2"/>
    <x v="54"/>
    <n v="3867"/>
    <n v="278428"/>
    <n v="2482"/>
  </r>
  <r>
    <s v="B-25454"/>
    <x v="231"/>
    <x v="240"/>
    <x v="11"/>
    <x v="0"/>
    <x v="11"/>
    <n v="5827"/>
    <n v="99055"/>
    <n v="2733"/>
  </r>
  <r>
    <s v="B-26215"/>
    <x v="232"/>
    <x v="241"/>
    <x v="15"/>
    <x v="1"/>
    <x v="18"/>
    <n v="4252"/>
    <n v="76528"/>
    <n v="1450"/>
  </r>
  <r>
    <s v="B-25777"/>
    <x v="233"/>
    <x v="242"/>
    <x v="4"/>
    <x v="0"/>
    <x v="4"/>
    <n v="6642"/>
    <n v="92982"/>
    <n v="5678"/>
  </r>
  <r>
    <s v="B-25383"/>
    <x v="234"/>
    <x v="243"/>
    <x v="11"/>
    <x v="2"/>
    <x v="14"/>
    <n v="5717"/>
    <n v="91472"/>
    <n v="4912"/>
  </r>
  <r>
    <s v="B-26409"/>
    <x v="235"/>
    <x v="244"/>
    <x v="2"/>
    <x v="2"/>
    <x v="8"/>
    <n v="4377"/>
    <n v="8754"/>
    <n v="2706"/>
  </r>
  <r>
    <s v="B-26684"/>
    <x v="74"/>
    <x v="245"/>
    <x v="4"/>
    <x v="1"/>
    <x v="52"/>
    <n v="8004"/>
    <n v="40021"/>
    <n v="2851"/>
  </r>
  <r>
    <s v="B-26726"/>
    <x v="236"/>
    <x v="246"/>
    <x v="15"/>
    <x v="2"/>
    <x v="67"/>
    <n v="5954"/>
    <n v="333450"/>
    <n v="2188"/>
  </r>
  <r>
    <s v="B-26136"/>
    <x v="237"/>
    <x v="247"/>
    <x v="0"/>
    <x v="1"/>
    <x v="18"/>
    <n v="9267"/>
    <n v="166812"/>
    <n v="2220"/>
  </r>
  <r>
    <s v="B-26098"/>
    <x v="238"/>
    <x v="248"/>
    <x v="14"/>
    <x v="2"/>
    <x v="2"/>
    <n v="4118"/>
    <n v="107065"/>
    <n v="1740"/>
  </r>
  <r>
    <s v="B-25430"/>
    <x v="239"/>
    <x v="249"/>
    <x v="2"/>
    <x v="2"/>
    <x v="49"/>
    <n v="5327"/>
    <n v="154489"/>
    <n v="2802"/>
  </r>
  <r>
    <s v="B-25266"/>
    <x v="240"/>
    <x v="250"/>
    <x v="6"/>
    <x v="2"/>
    <x v="14"/>
    <n v="4741"/>
    <n v="75850"/>
    <n v="3101"/>
  </r>
  <r>
    <s v="B-25283"/>
    <x v="241"/>
    <x v="251"/>
    <x v="3"/>
    <x v="2"/>
    <x v="52"/>
    <n v="5889"/>
    <n v="29444"/>
    <n v="2204"/>
  </r>
  <r>
    <s v="B-25227"/>
    <x v="242"/>
    <x v="252"/>
    <x v="1"/>
    <x v="2"/>
    <x v="41"/>
    <n v="4982"/>
    <n v="64763"/>
    <n v="3516"/>
  </r>
  <r>
    <s v="B-25669"/>
    <x v="243"/>
    <x v="253"/>
    <x v="10"/>
    <x v="1"/>
    <x v="45"/>
    <n v="6276"/>
    <n v="37658"/>
    <n v="2264"/>
  </r>
  <r>
    <s v="B-25064"/>
    <x v="244"/>
    <x v="254"/>
    <x v="5"/>
    <x v="2"/>
    <x v="28"/>
    <n v="5315"/>
    <n v="276376"/>
    <n v="9062"/>
  </r>
  <r>
    <s v="B-26268"/>
    <x v="245"/>
    <x v="255"/>
    <x v="13"/>
    <x v="1"/>
    <x v="2"/>
    <n v="4414"/>
    <n v="114762"/>
    <n v="1168"/>
  </r>
  <r>
    <s v="B-25456"/>
    <x v="246"/>
    <x v="256"/>
    <x v="0"/>
    <x v="2"/>
    <x v="23"/>
    <n v="5750"/>
    <n v="344994"/>
    <n v="7074"/>
  </r>
  <r>
    <s v="B-25495"/>
    <x v="247"/>
    <x v="257"/>
    <x v="6"/>
    <x v="1"/>
    <x v="15"/>
    <n v="4692"/>
    <n v="126674"/>
    <n v="1076"/>
  </r>
  <r>
    <s v="B-26552"/>
    <x v="248"/>
    <x v="258"/>
    <x v="11"/>
    <x v="0"/>
    <x v="48"/>
    <n v="2898"/>
    <n v="86928"/>
    <n v="2808"/>
  </r>
  <r>
    <s v="B-25203"/>
    <x v="249"/>
    <x v="259"/>
    <x v="4"/>
    <x v="2"/>
    <x v="45"/>
    <n v="2405"/>
    <n v="14431"/>
    <n v="505"/>
  </r>
  <r>
    <s v="B-25462"/>
    <x v="250"/>
    <x v="260"/>
    <x v="11"/>
    <x v="0"/>
    <x v="45"/>
    <n v="5810"/>
    <n v="34862"/>
    <n v="482"/>
  </r>
  <r>
    <s v="B-26145"/>
    <x v="121"/>
    <x v="261"/>
    <x v="17"/>
    <x v="2"/>
    <x v="1"/>
    <n v="7513"/>
    <n v="180318"/>
    <n v="1734"/>
  </r>
  <r>
    <s v="B-25552"/>
    <x v="48"/>
    <x v="262"/>
    <x v="3"/>
    <x v="1"/>
    <x v="2"/>
    <n v="7069"/>
    <n v="183806"/>
    <n v="4710"/>
  </r>
  <r>
    <s v="B-26069"/>
    <x v="251"/>
    <x v="263"/>
    <x v="13"/>
    <x v="1"/>
    <x v="2"/>
    <n v="1334"/>
    <n v="34684"/>
    <n v="1940"/>
  </r>
  <r>
    <s v="B-25120"/>
    <x v="252"/>
    <x v="264"/>
    <x v="3"/>
    <x v="1"/>
    <x v="69"/>
    <n v="7479"/>
    <n v="471207"/>
    <n v="13296"/>
  </r>
  <r>
    <s v="B-26146"/>
    <x v="253"/>
    <x v="265"/>
    <x v="11"/>
    <x v="1"/>
    <x v="3"/>
    <n v="2499"/>
    <n v="47481"/>
    <n v="2247"/>
  </r>
  <r>
    <s v="B-25549"/>
    <x v="254"/>
    <x v="266"/>
    <x v="1"/>
    <x v="1"/>
    <x v="3"/>
    <n v="4324"/>
    <n v="82152"/>
    <n v="2830"/>
  </r>
  <r>
    <s v="B-25488"/>
    <x v="255"/>
    <x v="267"/>
    <x v="3"/>
    <x v="2"/>
    <x v="41"/>
    <n v="5951"/>
    <n v="77363"/>
    <n v="1983"/>
  </r>
  <r>
    <s v="B-26885"/>
    <x v="256"/>
    <x v="268"/>
    <x v="15"/>
    <x v="2"/>
    <x v="7"/>
    <n v="5890"/>
    <n v="47116"/>
    <n v="1148"/>
  </r>
  <r>
    <s v="B-25703"/>
    <x v="257"/>
    <x v="269"/>
    <x v="1"/>
    <x v="0"/>
    <x v="7"/>
    <n v="9888"/>
    <n v="79106"/>
    <n v="3602"/>
  </r>
  <r>
    <s v="B-25809"/>
    <x v="258"/>
    <x v="270"/>
    <x v="11"/>
    <x v="1"/>
    <x v="70"/>
    <n v="5876"/>
    <n v="634560"/>
    <n v="14332"/>
  </r>
  <r>
    <s v="B-25477"/>
    <x v="259"/>
    <x v="271"/>
    <x v="5"/>
    <x v="1"/>
    <x v="4"/>
    <n v="7433"/>
    <n v="104060"/>
    <n v="3330"/>
  </r>
  <r>
    <s v="B-26018"/>
    <x v="260"/>
    <x v="272"/>
    <x v="7"/>
    <x v="2"/>
    <x v="18"/>
    <n v="3151"/>
    <n v="56721"/>
    <n v="957"/>
  </r>
  <r>
    <s v="B-25329"/>
    <x v="261"/>
    <x v="273"/>
    <x v="6"/>
    <x v="2"/>
    <x v="22"/>
    <n v="5478"/>
    <n v="197216"/>
    <n v="2384"/>
  </r>
  <r>
    <s v="B-25182"/>
    <x v="262"/>
    <x v="274"/>
    <x v="3"/>
    <x v="2"/>
    <x v="33"/>
    <n v="1459"/>
    <n v="16053"/>
    <n v="686"/>
  </r>
  <r>
    <s v="B-25492"/>
    <x v="263"/>
    <x v="275"/>
    <x v="8"/>
    <x v="1"/>
    <x v="44"/>
    <n v="5478"/>
    <n v="361570"/>
    <n v="3110"/>
  </r>
  <r>
    <s v="B-25517"/>
    <x v="264"/>
    <x v="276"/>
    <x v="10"/>
    <x v="1"/>
    <x v="34"/>
    <n v="5853"/>
    <n v="193157"/>
    <n v="2319"/>
  </r>
  <r>
    <s v="B-25200"/>
    <x v="265"/>
    <x v="277"/>
    <x v="10"/>
    <x v="1"/>
    <x v="45"/>
    <n v="10065"/>
    <n v="60389"/>
    <n v="2471"/>
  </r>
  <r>
    <s v="B-26009"/>
    <x v="266"/>
    <x v="278"/>
    <x v="13"/>
    <x v="2"/>
    <x v="43"/>
    <n v="9118"/>
    <n v="91178"/>
    <n v="1728"/>
  </r>
  <r>
    <s v="B-26580"/>
    <x v="267"/>
    <x v="279"/>
    <x v="15"/>
    <x v="2"/>
    <x v="2"/>
    <n v="4022"/>
    <n v="104584"/>
    <n v="402"/>
  </r>
  <r>
    <s v="B-25679"/>
    <x v="268"/>
    <x v="280"/>
    <x v="11"/>
    <x v="2"/>
    <x v="18"/>
    <n v="823"/>
    <n v="14811"/>
    <n v="231"/>
  </r>
  <r>
    <s v="B-26034"/>
    <x v="269"/>
    <x v="281"/>
    <x v="5"/>
    <x v="2"/>
    <x v="2"/>
    <n v="9854"/>
    <n v="256195"/>
    <n v="6161"/>
  </r>
  <r>
    <s v="B-25148"/>
    <x v="35"/>
    <x v="282"/>
    <x v="5"/>
    <x v="1"/>
    <x v="20"/>
    <n v="5178"/>
    <n v="331390"/>
    <n v="8438"/>
  </r>
  <r>
    <s v="B-25830"/>
    <x v="270"/>
    <x v="283"/>
    <x v="1"/>
    <x v="1"/>
    <x v="24"/>
    <n v="3980"/>
    <n v="79610"/>
    <n v="2830"/>
  </r>
  <r>
    <s v="B-25762"/>
    <x v="271"/>
    <x v="284"/>
    <x v="7"/>
    <x v="0"/>
    <x v="41"/>
    <n v="2895"/>
    <n v="37636"/>
    <n v="482"/>
  </r>
  <r>
    <s v="B-26794"/>
    <x v="272"/>
    <x v="285"/>
    <x v="3"/>
    <x v="2"/>
    <x v="1"/>
    <n v="2564"/>
    <n v="61543"/>
    <n v="1927"/>
  </r>
  <r>
    <s v="B-25011"/>
    <x v="273"/>
    <x v="286"/>
    <x v="8"/>
    <x v="2"/>
    <x v="48"/>
    <n v="3977"/>
    <n v="119312"/>
    <n v="1922"/>
  </r>
  <r>
    <s v="B-25515"/>
    <x v="274"/>
    <x v="287"/>
    <x v="11"/>
    <x v="1"/>
    <x v="39"/>
    <n v="4684"/>
    <n v="42152"/>
    <n v="1940"/>
  </r>
  <r>
    <s v="B-25369"/>
    <x v="275"/>
    <x v="288"/>
    <x v="5"/>
    <x v="2"/>
    <x v="71"/>
    <n v="3146"/>
    <n v="352408"/>
    <n v="9804"/>
  </r>
  <r>
    <s v="B-26222"/>
    <x v="276"/>
    <x v="289"/>
    <x v="17"/>
    <x v="1"/>
    <x v="26"/>
    <n v="7383"/>
    <n v="332236"/>
    <n v="6927"/>
  </r>
  <r>
    <s v="B-25316"/>
    <x v="277"/>
    <x v="290"/>
    <x v="7"/>
    <x v="0"/>
    <x v="19"/>
    <n v="5518"/>
    <n v="66217"/>
    <n v="673"/>
  </r>
  <r>
    <s v="B-25507"/>
    <x v="278"/>
    <x v="291"/>
    <x v="11"/>
    <x v="0"/>
    <x v="18"/>
    <n v="6417"/>
    <n v="115500"/>
    <n v="444"/>
  </r>
  <r>
    <s v="B-25846"/>
    <x v="279"/>
    <x v="292"/>
    <x v="1"/>
    <x v="0"/>
    <x v="55"/>
    <n v="9281"/>
    <n v="27842"/>
    <n v="1724"/>
  </r>
  <r>
    <s v="B-25763"/>
    <x v="280"/>
    <x v="293"/>
    <x v="0"/>
    <x v="1"/>
    <x v="49"/>
    <n v="6109"/>
    <n v="177166"/>
    <n v="6529"/>
  </r>
  <r>
    <s v="B-25465"/>
    <x v="281"/>
    <x v="294"/>
    <x v="5"/>
    <x v="2"/>
    <x v="72"/>
    <n v="619"/>
    <n v="122658"/>
    <n v="2010"/>
  </r>
  <r>
    <s v="B-26352"/>
    <x v="282"/>
    <x v="295"/>
    <x v="5"/>
    <x v="2"/>
    <x v="17"/>
    <n v="5618"/>
    <n v="247182"/>
    <n v="3322"/>
  </r>
  <r>
    <s v="B-26528"/>
    <x v="133"/>
    <x v="296"/>
    <x v="8"/>
    <x v="2"/>
    <x v="65"/>
    <n v="2666"/>
    <n v="101322"/>
    <n v="128"/>
  </r>
  <r>
    <s v="B-26670"/>
    <x v="283"/>
    <x v="297"/>
    <x v="14"/>
    <x v="0"/>
    <x v="52"/>
    <n v="5487"/>
    <n v="27435"/>
    <n v="1680"/>
  </r>
  <r>
    <s v="B-25331"/>
    <x v="284"/>
    <x v="298"/>
    <x v="5"/>
    <x v="1"/>
    <x v="7"/>
    <n v="2526"/>
    <n v="20207"/>
    <n v="95"/>
  </r>
  <r>
    <s v="B-25832"/>
    <x v="285"/>
    <x v="299"/>
    <x v="3"/>
    <x v="2"/>
    <x v="52"/>
    <n v="6016"/>
    <n v="30082"/>
    <n v="4639"/>
  </r>
  <r>
    <s v="B-25897"/>
    <x v="286"/>
    <x v="300"/>
    <x v="9"/>
    <x v="2"/>
    <x v="7"/>
    <n v="5723"/>
    <n v="45786"/>
    <n v="2642"/>
  </r>
  <r>
    <s v="B-25713"/>
    <x v="81"/>
    <x v="301"/>
    <x v="10"/>
    <x v="0"/>
    <x v="7"/>
    <n v="2344"/>
    <n v="18749"/>
    <n v="509"/>
  </r>
  <r>
    <s v="B-25065"/>
    <x v="248"/>
    <x v="302"/>
    <x v="9"/>
    <x v="1"/>
    <x v="39"/>
    <n v="6756"/>
    <n v="60803"/>
    <n v="1439"/>
  </r>
  <r>
    <s v="B-25949"/>
    <x v="287"/>
    <x v="303"/>
    <x v="2"/>
    <x v="1"/>
    <x v="52"/>
    <n v="4889"/>
    <n v="24446"/>
    <n v="1896"/>
  </r>
  <r>
    <s v="B-26033"/>
    <x v="161"/>
    <x v="304"/>
    <x v="3"/>
    <x v="0"/>
    <x v="18"/>
    <n v="6209"/>
    <n v="111764"/>
    <n v="2378"/>
  </r>
  <r>
    <s v="B-26017"/>
    <x v="145"/>
    <x v="305"/>
    <x v="16"/>
    <x v="0"/>
    <x v="11"/>
    <n v="5527"/>
    <n v="93953"/>
    <n v="2510"/>
  </r>
  <r>
    <s v="B-26926"/>
    <x v="288"/>
    <x v="306"/>
    <x v="6"/>
    <x v="1"/>
    <x v="14"/>
    <n v="4733"/>
    <n v="75724"/>
    <n v="1660"/>
  </r>
  <r>
    <s v="B-26258"/>
    <x v="289"/>
    <x v="307"/>
    <x v="17"/>
    <x v="1"/>
    <x v="53"/>
    <n v="2968"/>
    <n v="100909"/>
    <n v="1573"/>
  </r>
  <r>
    <s v="B-26240"/>
    <x v="290"/>
    <x v="308"/>
    <x v="4"/>
    <x v="1"/>
    <x v="48"/>
    <n v="8104"/>
    <n v="243132"/>
    <n v="1872"/>
  </r>
  <r>
    <s v="B-26922"/>
    <x v="291"/>
    <x v="309"/>
    <x v="7"/>
    <x v="1"/>
    <x v="43"/>
    <n v="3972"/>
    <n v="39721"/>
    <n v="151"/>
  </r>
  <r>
    <s v="B-26894"/>
    <x v="292"/>
    <x v="310"/>
    <x v="17"/>
    <x v="1"/>
    <x v="14"/>
    <n v="8968"/>
    <n v="143482"/>
    <n v="3178"/>
  </r>
  <r>
    <s v="B-25330"/>
    <x v="293"/>
    <x v="311"/>
    <x v="17"/>
    <x v="1"/>
    <x v="14"/>
    <n v="3014"/>
    <n v="48229"/>
    <n v="917"/>
  </r>
  <r>
    <s v="B-26288"/>
    <x v="294"/>
    <x v="312"/>
    <x v="5"/>
    <x v="1"/>
    <x v="19"/>
    <n v="5778"/>
    <n v="69342"/>
    <n v="5214"/>
  </r>
  <r>
    <s v="B-25228"/>
    <x v="295"/>
    <x v="313"/>
    <x v="6"/>
    <x v="0"/>
    <x v="65"/>
    <n v="6173"/>
    <n v="234560"/>
    <n v="4242"/>
  </r>
  <r>
    <s v="B-26457"/>
    <x v="296"/>
    <x v="314"/>
    <x v="3"/>
    <x v="2"/>
    <x v="27"/>
    <n v="5651"/>
    <n v="39560"/>
    <n v="1928"/>
  </r>
  <r>
    <s v="B-25790"/>
    <x v="297"/>
    <x v="315"/>
    <x v="0"/>
    <x v="0"/>
    <x v="7"/>
    <n v="2918"/>
    <n v="23344"/>
    <n v="1008"/>
  </r>
  <r>
    <s v="B-25868"/>
    <x v="298"/>
    <x v="316"/>
    <x v="15"/>
    <x v="1"/>
    <x v="43"/>
    <n v="2994"/>
    <n v="29938"/>
    <n v="498"/>
  </r>
  <r>
    <s v="B-25381"/>
    <x v="299"/>
    <x v="317"/>
    <x v="4"/>
    <x v="1"/>
    <x v="2"/>
    <n v="4293"/>
    <n v="111610"/>
    <n v="1890"/>
  </r>
  <r>
    <s v="B-25153"/>
    <x v="99"/>
    <x v="318"/>
    <x v="7"/>
    <x v="1"/>
    <x v="46"/>
    <n v="8952"/>
    <n v="35808"/>
    <n v="1704"/>
  </r>
  <r>
    <s v="B-26576"/>
    <x v="79"/>
    <x v="319"/>
    <x v="8"/>
    <x v="2"/>
    <x v="3"/>
    <n v="8293"/>
    <n v="157572"/>
    <n v="1430"/>
  </r>
  <r>
    <s v="B-26526"/>
    <x v="300"/>
    <x v="320"/>
    <x v="5"/>
    <x v="2"/>
    <x v="6"/>
    <n v="2177"/>
    <n v="60948"/>
    <n v="1616"/>
  </r>
  <r>
    <s v="B-25819"/>
    <x v="255"/>
    <x v="321"/>
    <x v="8"/>
    <x v="1"/>
    <x v="37"/>
    <n v="2644"/>
    <n v="58168"/>
    <n v="1210"/>
  </r>
  <r>
    <s v="B-25698"/>
    <x v="301"/>
    <x v="322"/>
    <x v="13"/>
    <x v="0"/>
    <x v="18"/>
    <n v="3898"/>
    <n v="70168"/>
    <n v="2200"/>
  </r>
  <r>
    <s v="B-26820"/>
    <x v="302"/>
    <x v="323"/>
    <x v="12"/>
    <x v="2"/>
    <x v="19"/>
    <n v="5541"/>
    <n v="66490"/>
    <n v="1666"/>
  </r>
  <r>
    <s v="B-25396"/>
    <x v="303"/>
    <x v="324"/>
    <x v="13"/>
    <x v="1"/>
    <x v="24"/>
    <n v="5269"/>
    <n v="105371"/>
    <n v="3279"/>
  </r>
  <r>
    <s v="B-25529"/>
    <x v="304"/>
    <x v="325"/>
    <x v="1"/>
    <x v="1"/>
    <x v="13"/>
    <n v="1643"/>
    <n v="24648"/>
    <n v="258"/>
  </r>
  <r>
    <s v="B-26501"/>
    <x v="106"/>
    <x v="326"/>
    <x v="0"/>
    <x v="2"/>
    <x v="27"/>
    <n v="9417"/>
    <n v="65919"/>
    <n v="3962"/>
  </r>
  <r>
    <s v="B-26910"/>
    <x v="50"/>
    <x v="327"/>
    <x v="5"/>
    <x v="1"/>
    <x v="59"/>
    <n v="7236"/>
    <n v="224313"/>
    <n v="7275"/>
  </r>
  <r>
    <s v="B-25978"/>
    <x v="305"/>
    <x v="328"/>
    <x v="3"/>
    <x v="2"/>
    <x v="7"/>
    <n v="6956"/>
    <n v="55649"/>
    <n v="2673"/>
  </r>
  <r>
    <s v="B-26537"/>
    <x v="306"/>
    <x v="329"/>
    <x v="6"/>
    <x v="2"/>
    <x v="11"/>
    <n v="3272"/>
    <n v="55627"/>
    <n v="207"/>
  </r>
  <r>
    <s v="B-25881"/>
    <x v="307"/>
    <x v="330"/>
    <x v="8"/>
    <x v="2"/>
    <x v="14"/>
    <n v="8999"/>
    <n v="143988"/>
    <n v="4644"/>
  </r>
  <r>
    <s v="B-25237"/>
    <x v="308"/>
    <x v="331"/>
    <x v="14"/>
    <x v="1"/>
    <x v="8"/>
    <n v="5437"/>
    <n v="10874"/>
    <n v="374"/>
  </r>
  <r>
    <s v="B-26122"/>
    <x v="309"/>
    <x v="332"/>
    <x v="4"/>
    <x v="1"/>
    <x v="12"/>
    <n v="4162"/>
    <n v="166482"/>
    <n v="1842"/>
  </r>
  <r>
    <s v="B-25709"/>
    <x v="310"/>
    <x v="333"/>
    <x v="2"/>
    <x v="1"/>
    <x v="13"/>
    <n v="1137"/>
    <n v="17053"/>
    <n v="418"/>
  </r>
  <r>
    <s v="B-26656"/>
    <x v="247"/>
    <x v="135"/>
    <x v="11"/>
    <x v="1"/>
    <x v="73"/>
    <n v="6281"/>
    <n v="320352"/>
    <n v="3669"/>
  </r>
  <r>
    <s v="B-25801"/>
    <x v="311"/>
    <x v="334"/>
    <x v="8"/>
    <x v="1"/>
    <x v="4"/>
    <n v="6860"/>
    <n v="96036"/>
    <n v="5698"/>
  </r>
  <r>
    <s v="B-25006"/>
    <x v="72"/>
    <x v="335"/>
    <x v="8"/>
    <x v="1"/>
    <x v="73"/>
    <n v="5924"/>
    <n v="302103"/>
    <n v="4722"/>
  </r>
  <r>
    <s v="B-26106"/>
    <x v="312"/>
    <x v="336"/>
    <x v="13"/>
    <x v="2"/>
    <x v="7"/>
    <n v="8435"/>
    <n v="67481"/>
    <n v="3865"/>
  </r>
  <r>
    <s v="B-25789"/>
    <x v="313"/>
    <x v="337"/>
    <x v="2"/>
    <x v="2"/>
    <x v="52"/>
    <n v="3735"/>
    <n v="18674"/>
    <n v="379"/>
  </r>
  <r>
    <s v="B-26292"/>
    <x v="314"/>
    <x v="338"/>
    <x v="4"/>
    <x v="1"/>
    <x v="46"/>
    <n v="4473"/>
    <n v="17891"/>
    <n v="1159"/>
  </r>
  <r>
    <s v="B-25895"/>
    <x v="136"/>
    <x v="339"/>
    <x v="14"/>
    <x v="0"/>
    <x v="33"/>
    <n v="7604"/>
    <n v="83639"/>
    <n v="1381"/>
  </r>
  <r>
    <s v="B-25813"/>
    <x v="315"/>
    <x v="340"/>
    <x v="11"/>
    <x v="0"/>
    <x v="39"/>
    <n v="728"/>
    <n v="6556"/>
    <n v="238"/>
  </r>
  <r>
    <s v="B-26863"/>
    <x v="316"/>
    <x v="341"/>
    <x v="8"/>
    <x v="2"/>
    <x v="13"/>
    <n v="4137"/>
    <n v="62049"/>
    <n v="1494"/>
  </r>
  <r>
    <s v="B-25759"/>
    <x v="317"/>
    <x v="342"/>
    <x v="17"/>
    <x v="2"/>
    <x v="8"/>
    <n v="6180"/>
    <n v="12360"/>
    <n v="2332"/>
  </r>
  <r>
    <s v="B-26357"/>
    <x v="79"/>
    <x v="343"/>
    <x v="5"/>
    <x v="0"/>
    <x v="13"/>
    <n v="10208"/>
    <n v="153115"/>
    <n v="4930"/>
  </r>
  <r>
    <s v="B-26819"/>
    <x v="318"/>
    <x v="344"/>
    <x v="11"/>
    <x v="0"/>
    <x v="42"/>
    <n v="12264"/>
    <n v="12264"/>
    <n v="3502"/>
  </r>
  <r>
    <s v="B-25502"/>
    <x v="319"/>
    <x v="345"/>
    <x v="3"/>
    <x v="1"/>
    <x v="42"/>
    <n v="9290"/>
    <n v="9290"/>
    <n v="800"/>
  </r>
  <r>
    <s v="B-25258"/>
    <x v="68"/>
    <x v="346"/>
    <x v="10"/>
    <x v="2"/>
    <x v="43"/>
    <n v="6967"/>
    <n v="69674"/>
    <n v="164"/>
  </r>
  <r>
    <s v="B-26878"/>
    <x v="320"/>
    <x v="347"/>
    <x v="12"/>
    <x v="0"/>
    <x v="45"/>
    <n v="1181"/>
    <n v="7086"/>
    <n v="618"/>
  </r>
  <r>
    <s v="B-25170"/>
    <x v="321"/>
    <x v="348"/>
    <x v="11"/>
    <x v="1"/>
    <x v="9"/>
    <n v="4763"/>
    <n v="185744"/>
    <n v="2484"/>
  </r>
  <r>
    <s v="B-26842"/>
    <x v="322"/>
    <x v="349"/>
    <x v="1"/>
    <x v="1"/>
    <x v="74"/>
    <n v="6274"/>
    <n v="476812"/>
    <n v="8728"/>
  </r>
  <r>
    <s v="B-26599"/>
    <x v="323"/>
    <x v="350"/>
    <x v="8"/>
    <x v="2"/>
    <x v="48"/>
    <n v="4132"/>
    <n v="123952"/>
    <n v="3502"/>
  </r>
  <r>
    <s v="B-25705"/>
    <x v="324"/>
    <x v="351"/>
    <x v="2"/>
    <x v="0"/>
    <x v="33"/>
    <n v="9386"/>
    <n v="103242"/>
    <n v="557"/>
  </r>
  <r>
    <s v="B-26366"/>
    <x v="325"/>
    <x v="352"/>
    <x v="16"/>
    <x v="1"/>
    <x v="53"/>
    <n v="5426"/>
    <n v="184470"/>
    <n v="1930"/>
  </r>
  <r>
    <s v="B-26116"/>
    <x v="85"/>
    <x v="353"/>
    <x v="15"/>
    <x v="2"/>
    <x v="42"/>
    <n v="7123"/>
    <n v="7123"/>
    <n v="734"/>
  </r>
  <r>
    <s v="B-26443"/>
    <x v="269"/>
    <x v="354"/>
    <x v="6"/>
    <x v="0"/>
    <x v="1"/>
    <n v="10227"/>
    <n v="245454"/>
    <n v="8598"/>
  </r>
  <r>
    <s v="B-25955"/>
    <x v="326"/>
    <x v="355"/>
    <x v="1"/>
    <x v="1"/>
    <x v="7"/>
    <n v="729"/>
    <n v="5834"/>
    <n v="594"/>
  </r>
  <r>
    <s v="B-26383"/>
    <x v="327"/>
    <x v="356"/>
    <x v="12"/>
    <x v="0"/>
    <x v="10"/>
    <n v="4972"/>
    <n v="228726"/>
    <n v="5624"/>
  </r>
  <r>
    <s v="B-26999"/>
    <x v="328"/>
    <x v="357"/>
    <x v="0"/>
    <x v="2"/>
    <x v="52"/>
    <n v="4020"/>
    <n v="20098"/>
    <n v="1318"/>
  </r>
  <r>
    <s v="B-26712"/>
    <x v="329"/>
    <x v="358"/>
    <x v="7"/>
    <x v="1"/>
    <x v="24"/>
    <n v="6730"/>
    <n v="134601"/>
    <n v="4271"/>
  </r>
  <r>
    <s v="B-26066"/>
    <x v="143"/>
    <x v="359"/>
    <x v="10"/>
    <x v="1"/>
    <x v="3"/>
    <n v="6723"/>
    <n v="127737"/>
    <n v="950"/>
  </r>
  <r>
    <s v="B-25996"/>
    <x v="330"/>
    <x v="360"/>
    <x v="16"/>
    <x v="2"/>
    <x v="6"/>
    <n v="731"/>
    <n v="20456"/>
    <n v="464"/>
  </r>
  <r>
    <s v="B-26924"/>
    <x v="331"/>
    <x v="361"/>
    <x v="7"/>
    <x v="1"/>
    <x v="45"/>
    <n v="1166"/>
    <n v="6999"/>
    <n v="501"/>
  </r>
  <r>
    <s v="B-25541"/>
    <x v="332"/>
    <x v="362"/>
    <x v="5"/>
    <x v="2"/>
    <x v="69"/>
    <n v="1759"/>
    <n v="110805"/>
    <n v="4290"/>
  </r>
  <r>
    <s v="B-25196"/>
    <x v="333"/>
    <x v="363"/>
    <x v="15"/>
    <x v="1"/>
    <x v="42"/>
    <n v="8933"/>
    <n v="8933"/>
    <n v="1127"/>
  </r>
  <r>
    <s v="B-25855"/>
    <x v="323"/>
    <x v="364"/>
    <x v="0"/>
    <x v="2"/>
    <x v="3"/>
    <n v="5355"/>
    <n v="101740"/>
    <n v="1743"/>
  </r>
  <r>
    <s v="B-25071"/>
    <x v="334"/>
    <x v="365"/>
    <x v="15"/>
    <x v="1"/>
    <x v="45"/>
    <n v="6568"/>
    <n v="39408"/>
    <n v="2526"/>
  </r>
  <r>
    <s v="B-26159"/>
    <x v="136"/>
    <x v="366"/>
    <x v="1"/>
    <x v="2"/>
    <x v="25"/>
    <n v="7846"/>
    <n v="251086"/>
    <n v="11166"/>
  </r>
  <r>
    <s v="B-26228"/>
    <x v="335"/>
    <x v="367"/>
    <x v="5"/>
    <x v="1"/>
    <x v="41"/>
    <n v="8813"/>
    <n v="114567"/>
    <n v="3586"/>
  </r>
  <r>
    <s v="B-25888"/>
    <x v="336"/>
    <x v="368"/>
    <x v="6"/>
    <x v="2"/>
    <x v="45"/>
    <n v="9424"/>
    <n v="56542"/>
    <n v="3394"/>
  </r>
  <r>
    <s v="B-25574"/>
    <x v="183"/>
    <x v="369"/>
    <x v="8"/>
    <x v="0"/>
    <x v="4"/>
    <n v="5604"/>
    <n v="78456"/>
    <n v="4074"/>
  </r>
  <r>
    <s v="B-26938"/>
    <x v="337"/>
    <x v="370"/>
    <x v="13"/>
    <x v="2"/>
    <x v="4"/>
    <n v="3348"/>
    <n v="46876"/>
    <n v="942"/>
  </r>
  <r>
    <s v="B-26379"/>
    <x v="338"/>
    <x v="371"/>
    <x v="3"/>
    <x v="1"/>
    <x v="39"/>
    <n v="8954"/>
    <n v="80587"/>
    <n v="2458"/>
  </r>
  <r>
    <s v="B-26623"/>
    <x v="339"/>
    <x v="372"/>
    <x v="4"/>
    <x v="2"/>
    <x v="18"/>
    <n v="6281"/>
    <n v="113066"/>
    <n v="1556"/>
  </r>
  <r>
    <s v="B-25566"/>
    <x v="340"/>
    <x v="373"/>
    <x v="5"/>
    <x v="2"/>
    <x v="25"/>
    <n v="3907"/>
    <n v="125026"/>
    <n v="962"/>
  </r>
  <r>
    <s v="B-26740"/>
    <x v="341"/>
    <x v="374"/>
    <x v="1"/>
    <x v="0"/>
    <x v="32"/>
    <n v="7741"/>
    <n v="526380"/>
    <n v="17680"/>
  </r>
  <r>
    <s v="B-25024"/>
    <x v="296"/>
    <x v="375"/>
    <x v="16"/>
    <x v="1"/>
    <x v="46"/>
    <n v="11100"/>
    <n v="44402"/>
    <n v="8394"/>
  </r>
  <r>
    <s v="B-26367"/>
    <x v="342"/>
    <x v="376"/>
    <x v="16"/>
    <x v="1"/>
    <x v="3"/>
    <n v="7251"/>
    <n v="137777"/>
    <n v="2782"/>
  </r>
  <r>
    <s v="B-26353"/>
    <x v="343"/>
    <x v="377"/>
    <x v="8"/>
    <x v="2"/>
    <x v="75"/>
    <n v="5815"/>
    <n v="558219"/>
    <n v="6333"/>
  </r>
  <r>
    <s v="B-25742"/>
    <x v="43"/>
    <x v="378"/>
    <x v="4"/>
    <x v="1"/>
    <x v="4"/>
    <n v="8672"/>
    <n v="121405"/>
    <n v="2015"/>
  </r>
  <r>
    <s v="B-26965"/>
    <x v="280"/>
    <x v="379"/>
    <x v="12"/>
    <x v="0"/>
    <x v="41"/>
    <n v="1629"/>
    <n v="21176"/>
    <n v="480"/>
  </r>
  <r>
    <s v="B-26038"/>
    <x v="344"/>
    <x v="380"/>
    <x v="16"/>
    <x v="1"/>
    <x v="24"/>
    <n v="5898"/>
    <n v="117966"/>
    <n v="1521"/>
  </r>
  <r>
    <s v="B-25317"/>
    <x v="219"/>
    <x v="381"/>
    <x v="6"/>
    <x v="0"/>
    <x v="52"/>
    <n v="2514"/>
    <n v="12571"/>
    <n v="211"/>
  </r>
  <r>
    <s v="B-25970"/>
    <x v="14"/>
    <x v="382"/>
    <x v="11"/>
    <x v="2"/>
    <x v="4"/>
    <n v="9353"/>
    <n v="130944"/>
    <n v="3096"/>
  </r>
  <r>
    <s v="B-25590"/>
    <x v="345"/>
    <x v="383"/>
    <x v="5"/>
    <x v="1"/>
    <x v="45"/>
    <n v="8568"/>
    <n v="51407"/>
    <n v="1577"/>
  </r>
  <r>
    <s v="B-25580"/>
    <x v="346"/>
    <x v="384"/>
    <x v="11"/>
    <x v="0"/>
    <x v="3"/>
    <n v="1013"/>
    <n v="19248"/>
    <n v="58"/>
  </r>
  <r>
    <s v="B-25443"/>
    <x v="250"/>
    <x v="385"/>
    <x v="15"/>
    <x v="0"/>
    <x v="49"/>
    <n v="5599"/>
    <n v="162360"/>
    <n v="3464"/>
  </r>
  <r>
    <s v="B-25774"/>
    <x v="347"/>
    <x v="386"/>
    <x v="6"/>
    <x v="1"/>
    <x v="3"/>
    <n v="9039"/>
    <n v="171740"/>
    <n v="3381"/>
  </r>
  <r>
    <s v="B-26505"/>
    <x v="348"/>
    <x v="387"/>
    <x v="9"/>
    <x v="0"/>
    <x v="41"/>
    <n v="8316"/>
    <n v="108106"/>
    <n v="2052"/>
  </r>
  <r>
    <s v="B-25163"/>
    <x v="349"/>
    <x v="388"/>
    <x v="2"/>
    <x v="1"/>
    <x v="4"/>
    <n v="3533"/>
    <n v="49458"/>
    <n v="1704"/>
  </r>
  <r>
    <s v="B-26095"/>
    <x v="350"/>
    <x v="389"/>
    <x v="14"/>
    <x v="1"/>
    <x v="59"/>
    <n v="5453"/>
    <n v="169047"/>
    <n v="1211"/>
  </r>
  <r>
    <s v="B-25768"/>
    <x v="351"/>
    <x v="390"/>
    <x v="4"/>
    <x v="2"/>
    <x v="43"/>
    <n v="5428"/>
    <n v="54283"/>
    <n v="743"/>
  </r>
  <r>
    <s v="B-25328"/>
    <x v="352"/>
    <x v="391"/>
    <x v="7"/>
    <x v="0"/>
    <x v="7"/>
    <n v="9638"/>
    <n v="77100"/>
    <n v="6860"/>
  </r>
  <r>
    <s v="B-26573"/>
    <x v="353"/>
    <x v="392"/>
    <x v="16"/>
    <x v="2"/>
    <x v="7"/>
    <n v="7196"/>
    <n v="57570"/>
    <n v="3306"/>
  </r>
  <r>
    <s v="B-25138"/>
    <x v="354"/>
    <x v="393"/>
    <x v="3"/>
    <x v="1"/>
    <x v="46"/>
    <n v="1849"/>
    <n v="7397"/>
    <n v="285"/>
  </r>
  <r>
    <s v="B-26803"/>
    <x v="32"/>
    <x v="394"/>
    <x v="5"/>
    <x v="2"/>
    <x v="14"/>
    <n v="9221"/>
    <n v="147530"/>
    <n v="2914"/>
  </r>
  <r>
    <s v="B-25101"/>
    <x v="355"/>
    <x v="395"/>
    <x v="4"/>
    <x v="2"/>
    <x v="41"/>
    <n v="1689"/>
    <n v="21955"/>
    <n v="661"/>
  </r>
  <r>
    <s v="B-25827"/>
    <x v="318"/>
    <x v="396"/>
    <x v="15"/>
    <x v="2"/>
    <x v="46"/>
    <n v="1842"/>
    <n v="7368"/>
    <n v="224"/>
  </r>
  <r>
    <s v="B-25792"/>
    <x v="356"/>
    <x v="397"/>
    <x v="10"/>
    <x v="1"/>
    <x v="39"/>
    <n v="4838"/>
    <n v="43540"/>
    <n v="781"/>
  </r>
  <r>
    <s v="B-25646"/>
    <x v="357"/>
    <x v="398"/>
    <x v="17"/>
    <x v="1"/>
    <x v="46"/>
    <n v="10098"/>
    <n v="40393"/>
    <n v="4477"/>
  </r>
  <r>
    <s v="B-25043"/>
    <x v="358"/>
    <x v="399"/>
    <x v="0"/>
    <x v="0"/>
    <x v="7"/>
    <n v="2810"/>
    <n v="22479"/>
    <n v="663"/>
  </r>
  <r>
    <s v="B-26598"/>
    <x v="359"/>
    <x v="400"/>
    <x v="13"/>
    <x v="1"/>
    <x v="63"/>
    <n v="1716"/>
    <n v="144186"/>
    <n v="1455"/>
  </r>
  <r>
    <s v="B-26643"/>
    <x v="360"/>
    <x v="401"/>
    <x v="0"/>
    <x v="1"/>
    <x v="24"/>
    <n v="6902"/>
    <n v="138032"/>
    <n v="6386"/>
  </r>
  <r>
    <s v="B-25992"/>
    <x v="361"/>
    <x v="402"/>
    <x v="4"/>
    <x v="2"/>
    <x v="29"/>
    <n v="8502"/>
    <n v="459123"/>
    <n v="11625"/>
  </r>
  <r>
    <s v="B-25532"/>
    <x v="362"/>
    <x v="403"/>
    <x v="7"/>
    <x v="2"/>
    <x v="41"/>
    <n v="3695"/>
    <n v="48029"/>
    <n v="436"/>
  </r>
  <r>
    <s v="B-25564"/>
    <x v="363"/>
    <x v="404"/>
    <x v="2"/>
    <x v="1"/>
    <x v="1"/>
    <n v="2494"/>
    <n v="59850"/>
    <n v="1026"/>
  </r>
  <r>
    <s v="B-26543"/>
    <x v="364"/>
    <x v="405"/>
    <x v="8"/>
    <x v="2"/>
    <x v="14"/>
    <n v="7188"/>
    <n v="115015"/>
    <n v="1943"/>
  </r>
  <r>
    <s v="B-25976"/>
    <x v="365"/>
    <x v="406"/>
    <x v="4"/>
    <x v="2"/>
    <x v="14"/>
    <n v="5392"/>
    <n v="86280"/>
    <n v="3498"/>
  </r>
  <r>
    <s v="B-25929"/>
    <x v="366"/>
    <x v="407"/>
    <x v="4"/>
    <x v="1"/>
    <x v="18"/>
    <n v="979"/>
    <n v="17614"/>
    <n v="298"/>
  </r>
  <r>
    <s v="B-25497"/>
    <x v="367"/>
    <x v="408"/>
    <x v="10"/>
    <x v="1"/>
    <x v="3"/>
    <n v="2805"/>
    <n v="53299"/>
    <n v="1134"/>
  </r>
  <r>
    <s v="B-26735"/>
    <x v="368"/>
    <x v="409"/>
    <x v="7"/>
    <x v="0"/>
    <x v="45"/>
    <n v="2180"/>
    <n v="13080"/>
    <n v="612"/>
  </r>
  <r>
    <s v="B-25036"/>
    <x v="369"/>
    <x v="410"/>
    <x v="3"/>
    <x v="0"/>
    <x v="55"/>
    <n v="3155"/>
    <n v="9464"/>
    <n v="1253"/>
  </r>
  <r>
    <s v="B-25971"/>
    <x v="370"/>
    <x v="411"/>
    <x v="14"/>
    <x v="1"/>
    <x v="45"/>
    <n v="8674"/>
    <n v="52045"/>
    <n v="2881"/>
  </r>
  <r>
    <s v="B-25441"/>
    <x v="371"/>
    <x v="412"/>
    <x v="5"/>
    <x v="1"/>
    <x v="76"/>
    <n v="5679"/>
    <n v="454316"/>
    <n v="9624"/>
  </r>
  <r>
    <s v="B-25823"/>
    <x v="372"/>
    <x v="413"/>
    <x v="3"/>
    <x v="1"/>
    <x v="39"/>
    <n v="3281"/>
    <n v="29528"/>
    <n v="476"/>
  </r>
  <r>
    <s v="B-25363"/>
    <x v="373"/>
    <x v="414"/>
    <x v="6"/>
    <x v="0"/>
    <x v="14"/>
    <n v="4012"/>
    <n v="64186"/>
    <n v="1498"/>
  </r>
  <r>
    <s v="B-26445"/>
    <x v="374"/>
    <x v="415"/>
    <x v="17"/>
    <x v="2"/>
    <x v="13"/>
    <n v="10018"/>
    <n v="150266"/>
    <n v="1451"/>
  </r>
  <r>
    <s v="B-26724"/>
    <x v="375"/>
    <x v="416"/>
    <x v="4"/>
    <x v="2"/>
    <x v="42"/>
    <n v="14055"/>
    <n v="14055"/>
    <n v="4361"/>
  </r>
  <r>
    <s v="B-25447"/>
    <x v="5"/>
    <x v="417"/>
    <x v="11"/>
    <x v="1"/>
    <x v="41"/>
    <n v="5147"/>
    <n v="66917"/>
    <n v="1553"/>
  </r>
  <r>
    <s v="B-26904"/>
    <x v="376"/>
    <x v="418"/>
    <x v="0"/>
    <x v="1"/>
    <x v="0"/>
    <n v="598"/>
    <n v="34059"/>
    <n v="201"/>
  </r>
  <r>
    <s v="B-26456"/>
    <x v="171"/>
    <x v="419"/>
    <x v="9"/>
    <x v="2"/>
    <x v="33"/>
    <n v="6192"/>
    <n v="68112"/>
    <n v="2618"/>
  </r>
  <r>
    <s v="B-25435"/>
    <x v="377"/>
    <x v="420"/>
    <x v="8"/>
    <x v="2"/>
    <x v="33"/>
    <n v="4249"/>
    <n v="46735"/>
    <n v="2925"/>
  </r>
  <r>
    <s v="B-26279"/>
    <x v="378"/>
    <x v="421"/>
    <x v="4"/>
    <x v="1"/>
    <x v="26"/>
    <n v="3606"/>
    <n v="162275"/>
    <n v="4720"/>
  </r>
  <r>
    <s v="B-25770"/>
    <x v="13"/>
    <x v="422"/>
    <x v="11"/>
    <x v="1"/>
    <x v="42"/>
    <n v="10853"/>
    <n v="10853"/>
    <n v="2305"/>
  </r>
  <r>
    <s v="B-25715"/>
    <x v="379"/>
    <x v="423"/>
    <x v="12"/>
    <x v="1"/>
    <x v="77"/>
    <n v="4396"/>
    <n v="580335"/>
    <n v="7695"/>
  </r>
  <r>
    <s v="B-26961"/>
    <x v="380"/>
    <x v="424"/>
    <x v="6"/>
    <x v="2"/>
    <x v="43"/>
    <n v="5699"/>
    <n v="56990"/>
    <n v="5060"/>
  </r>
  <r>
    <s v="B-25902"/>
    <x v="381"/>
    <x v="425"/>
    <x v="12"/>
    <x v="0"/>
    <x v="55"/>
    <n v="7525"/>
    <n v="22575"/>
    <n v="96"/>
  </r>
  <r>
    <s v="B-26321"/>
    <x v="382"/>
    <x v="426"/>
    <x v="11"/>
    <x v="1"/>
    <x v="45"/>
    <n v="2203"/>
    <n v="13220"/>
    <n v="848"/>
  </r>
  <r>
    <s v="B-25612"/>
    <x v="270"/>
    <x v="427"/>
    <x v="6"/>
    <x v="0"/>
    <x v="42"/>
    <n v="8699"/>
    <n v="8699"/>
    <n v="1536"/>
  </r>
  <r>
    <s v="B-25605"/>
    <x v="383"/>
    <x v="428"/>
    <x v="3"/>
    <x v="0"/>
    <x v="45"/>
    <n v="4053"/>
    <n v="24319"/>
    <n v="163"/>
  </r>
  <r>
    <s v="B-25810"/>
    <x v="384"/>
    <x v="429"/>
    <x v="0"/>
    <x v="2"/>
    <x v="18"/>
    <n v="5712"/>
    <n v="102809"/>
    <n v="467"/>
  </r>
  <r>
    <s v="B-25935"/>
    <x v="385"/>
    <x v="430"/>
    <x v="16"/>
    <x v="0"/>
    <x v="13"/>
    <n v="3586"/>
    <n v="53784"/>
    <n v="1554"/>
  </r>
  <r>
    <s v="B-26245"/>
    <x v="136"/>
    <x v="431"/>
    <x v="4"/>
    <x v="1"/>
    <x v="13"/>
    <n v="4219"/>
    <n v="63285"/>
    <n v="705"/>
  </r>
  <r>
    <s v="B-25346"/>
    <x v="103"/>
    <x v="432"/>
    <x v="12"/>
    <x v="2"/>
    <x v="14"/>
    <n v="6284"/>
    <n v="100550"/>
    <n v="310"/>
  </r>
  <r>
    <s v="B-25594"/>
    <x v="386"/>
    <x v="433"/>
    <x v="11"/>
    <x v="0"/>
    <x v="4"/>
    <n v="2961"/>
    <n v="41458"/>
    <n v="424"/>
  </r>
  <r>
    <s v="B-25471"/>
    <x v="387"/>
    <x v="434"/>
    <x v="11"/>
    <x v="2"/>
    <x v="39"/>
    <n v="1167"/>
    <n v="10502"/>
    <n v="188"/>
  </r>
  <r>
    <s v="B-25398"/>
    <x v="388"/>
    <x v="435"/>
    <x v="11"/>
    <x v="0"/>
    <x v="2"/>
    <n v="9274"/>
    <n v="241124"/>
    <n v="1534"/>
  </r>
  <r>
    <s v="B-25999"/>
    <x v="389"/>
    <x v="436"/>
    <x v="6"/>
    <x v="1"/>
    <x v="18"/>
    <n v="3486"/>
    <n v="62756"/>
    <n v="3126"/>
  </r>
  <r>
    <s v="B-25159"/>
    <x v="289"/>
    <x v="437"/>
    <x v="13"/>
    <x v="1"/>
    <x v="20"/>
    <n v="5423"/>
    <n v="347048"/>
    <n v="5416"/>
  </r>
  <r>
    <s v="B-25496"/>
    <x v="62"/>
    <x v="438"/>
    <x v="12"/>
    <x v="1"/>
    <x v="46"/>
    <n v="3566"/>
    <n v="14262"/>
    <n v="1882"/>
  </r>
  <r>
    <s v="B-25401"/>
    <x v="110"/>
    <x v="439"/>
    <x v="13"/>
    <x v="0"/>
    <x v="41"/>
    <n v="6189"/>
    <n v="80451"/>
    <n v="2230"/>
  </r>
  <r>
    <s v="B-25707"/>
    <x v="279"/>
    <x v="440"/>
    <x v="15"/>
    <x v="1"/>
    <x v="7"/>
    <n v="3687"/>
    <n v="29494"/>
    <n v="1206"/>
  </r>
  <r>
    <s v="B-26225"/>
    <x v="390"/>
    <x v="441"/>
    <x v="11"/>
    <x v="0"/>
    <x v="8"/>
    <n v="2170"/>
    <n v="4339"/>
    <n v="355"/>
  </r>
  <r>
    <s v="B-25662"/>
    <x v="391"/>
    <x v="442"/>
    <x v="1"/>
    <x v="2"/>
    <x v="53"/>
    <n v="5419"/>
    <n v="184256"/>
    <n v="2492"/>
  </r>
  <r>
    <s v="B-26752"/>
    <x v="82"/>
    <x v="443"/>
    <x v="8"/>
    <x v="2"/>
    <x v="28"/>
    <n v="7799"/>
    <n v="405552"/>
    <n v="4680"/>
  </r>
  <r>
    <s v="B-25640"/>
    <x v="18"/>
    <x v="444"/>
    <x v="14"/>
    <x v="1"/>
    <x v="39"/>
    <n v="679"/>
    <n v="6115"/>
    <n v="85"/>
  </r>
  <r>
    <s v="B-25030"/>
    <x v="392"/>
    <x v="445"/>
    <x v="6"/>
    <x v="0"/>
    <x v="45"/>
    <n v="4226"/>
    <n v="25354"/>
    <n v="1012"/>
  </r>
  <r>
    <s v="B-25504"/>
    <x v="393"/>
    <x v="446"/>
    <x v="2"/>
    <x v="1"/>
    <x v="43"/>
    <n v="8424"/>
    <n v="84242"/>
    <n v="2462"/>
  </r>
  <r>
    <s v="B-26912"/>
    <x v="394"/>
    <x v="447"/>
    <x v="13"/>
    <x v="2"/>
    <x v="15"/>
    <n v="8939"/>
    <n v="241362"/>
    <n v="5058"/>
  </r>
  <r>
    <s v="B-25193"/>
    <x v="395"/>
    <x v="448"/>
    <x v="3"/>
    <x v="0"/>
    <x v="14"/>
    <n v="9252"/>
    <n v="148025"/>
    <n v="4441"/>
  </r>
  <r>
    <s v="B-25106"/>
    <x v="396"/>
    <x v="449"/>
    <x v="4"/>
    <x v="0"/>
    <x v="29"/>
    <n v="5861"/>
    <n v="316510"/>
    <n v="6908"/>
  </r>
  <r>
    <s v="B-26835"/>
    <x v="397"/>
    <x v="450"/>
    <x v="0"/>
    <x v="0"/>
    <x v="55"/>
    <n v="5670"/>
    <n v="17009"/>
    <n v="728"/>
  </r>
  <r>
    <s v="B-25836"/>
    <x v="398"/>
    <x v="451"/>
    <x v="13"/>
    <x v="2"/>
    <x v="48"/>
    <n v="2756"/>
    <n v="82678"/>
    <n v="1828"/>
  </r>
  <r>
    <s v="B-26661"/>
    <x v="399"/>
    <x v="452"/>
    <x v="0"/>
    <x v="1"/>
    <x v="55"/>
    <n v="2719"/>
    <n v="8157"/>
    <n v="999"/>
  </r>
  <r>
    <s v="B-26317"/>
    <x v="400"/>
    <x v="453"/>
    <x v="5"/>
    <x v="1"/>
    <x v="24"/>
    <n v="2291"/>
    <n v="45829"/>
    <n v="149"/>
  </r>
  <r>
    <s v="B-26839"/>
    <x v="401"/>
    <x v="454"/>
    <x v="14"/>
    <x v="2"/>
    <x v="62"/>
    <n v="8032"/>
    <n v="168667"/>
    <n v="3967"/>
  </r>
  <r>
    <s v="B-25735"/>
    <x v="402"/>
    <x v="455"/>
    <x v="13"/>
    <x v="1"/>
    <x v="27"/>
    <n v="7405"/>
    <n v="51836"/>
    <n v="1982"/>
  </r>
  <r>
    <s v="B-25387"/>
    <x v="403"/>
    <x v="456"/>
    <x v="9"/>
    <x v="1"/>
    <x v="52"/>
    <n v="10676"/>
    <n v="53382"/>
    <n v="4507"/>
  </r>
  <r>
    <s v="B-25192"/>
    <x v="404"/>
    <x v="457"/>
    <x v="12"/>
    <x v="2"/>
    <x v="41"/>
    <n v="3323"/>
    <n v="43194"/>
    <n v="177"/>
  </r>
  <r>
    <s v="B-26844"/>
    <x v="405"/>
    <x v="458"/>
    <x v="4"/>
    <x v="0"/>
    <x v="38"/>
    <n v="4227"/>
    <n v="177537"/>
    <n v="2691"/>
  </r>
  <r>
    <s v="B-25236"/>
    <x v="406"/>
    <x v="459"/>
    <x v="14"/>
    <x v="2"/>
    <x v="27"/>
    <n v="5642"/>
    <n v="39493"/>
    <n v="867"/>
  </r>
  <r>
    <s v="B-25940"/>
    <x v="407"/>
    <x v="460"/>
    <x v="6"/>
    <x v="0"/>
    <x v="19"/>
    <n v="7667"/>
    <n v="92004"/>
    <n v="1212"/>
  </r>
  <r>
    <s v="B-26765"/>
    <x v="408"/>
    <x v="461"/>
    <x v="4"/>
    <x v="0"/>
    <x v="33"/>
    <n v="770"/>
    <n v="8474"/>
    <n v="92"/>
  </r>
  <r>
    <s v="B-26817"/>
    <x v="409"/>
    <x v="462"/>
    <x v="9"/>
    <x v="0"/>
    <x v="45"/>
    <n v="3337"/>
    <n v="20022"/>
    <n v="126"/>
  </r>
  <r>
    <s v="B-26522"/>
    <x v="96"/>
    <x v="463"/>
    <x v="8"/>
    <x v="2"/>
    <x v="15"/>
    <n v="6308"/>
    <n v="170316"/>
    <n v="8478"/>
  </r>
  <r>
    <s v="B-25681"/>
    <x v="410"/>
    <x v="464"/>
    <x v="16"/>
    <x v="0"/>
    <x v="3"/>
    <n v="3867"/>
    <n v="73471"/>
    <n v="245"/>
  </r>
  <r>
    <s v="B-25382"/>
    <x v="411"/>
    <x v="465"/>
    <x v="0"/>
    <x v="1"/>
    <x v="13"/>
    <n v="7197"/>
    <n v="107962"/>
    <n v="2677"/>
  </r>
  <r>
    <s v="B-25944"/>
    <x v="283"/>
    <x v="466"/>
    <x v="3"/>
    <x v="0"/>
    <x v="6"/>
    <n v="6143"/>
    <n v="171992"/>
    <n v="5280"/>
  </r>
  <r>
    <s v="B-26980"/>
    <x v="412"/>
    <x v="467"/>
    <x v="5"/>
    <x v="2"/>
    <x v="43"/>
    <n v="10476"/>
    <n v="104756"/>
    <n v="7236"/>
  </r>
  <r>
    <s v="B-25780"/>
    <x v="413"/>
    <x v="468"/>
    <x v="3"/>
    <x v="0"/>
    <x v="13"/>
    <n v="5356"/>
    <n v="80347"/>
    <n v="322"/>
  </r>
  <r>
    <s v="B-25964"/>
    <x v="414"/>
    <x v="469"/>
    <x v="5"/>
    <x v="0"/>
    <x v="24"/>
    <n v="1458"/>
    <n v="29160"/>
    <n v="80"/>
  </r>
  <r>
    <s v="B-26767"/>
    <x v="415"/>
    <x v="470"/>
    <x v="8"/>
    <x v="2"/>
    <x v="65"/>
    <n v="6805"/>
    <n v="258590"/>
    <n v="3078"/>
  </r>
  <r>
    <s v="B-25501"/>
    <x v="285"/>
    <x v="471"/>
    <x v="12"/>
    <x v="1"/>
    <x v="46"/>
    <n v="10848"/>
    <n v="43391"/>
    <n v="3895"/>
  </r>
  <r>
    <s v="B-26029"/>
    <x v="416"/>
    <x v="472"/>
    <x v="11"/>
    <x v="0"/>
    <x v="27"/>
    <n v="5130"/>
    <n v="35911"/>
    <n v="1485"/>
  </r>
  <r>
    <s v="B-25292"/>
    <x v="112"/>
    <x v="473"/>
    <x v="3"/>
    <x v="1"/>
    <x v="3"/>
    <n v="3251"/>
    <n v="61771"/>
    <n v="1180"/>
  </r>
  <r>
    <s v="B-25873"/>
    <x v="417"/>
    <x v="474"/>
    <x v="3"/>
    <x v="0"/>
    <x v="45"/>
    <n v="3040"/>
    <n v="18243"/>
    <n v="2139"/>
  </r>
  <r>
    <s v="B-25444"/>
    <x v="418"/>
    <x v="475"/>
    <x v="4"/>
    <x v="1"/>
    <x v="43"/>
    <n v="7672"/>
    <n v="76718"/>
    <n v="458"/>
  </r>
  <r>
    <s v="B-26796"/>
    <x v="419"/>
    <x v="476"/>
    <x v="9"/>
    <x v="0"/>
    <x v="3"/>
    <n v="6830"/>
    <n v="129774"/>
    <n v="3063"/>
  </r>
  <r>
    <s v="B-25537"/>
    <x v="227"/>
    <x v="477"/>
    <x v="9"/>
    <x v="1"/>
    <x v="55"/>
    <n v="6685"/>
    <n v="20055"/>
    <n v="1686"/>
  </r>
  <r>
    <s v="B-26083"/>
    <x v="420"/>
    <x v="478"/>
    <x v="2"/>
    <x v="1"/>
    <x v="14"/>
    <n v="3352"/>
    <n v="53630"/>
    <n v="1390"/>
  </r>
  <r>
    <s v="B-25298"/>
    <x v="231"/>
    <x v="479"/>
    <x v="8"/>
    <x v="1"/>
    <x v="18"/>
    <n v="8277"/>
    <n v="148989"/>
    <n v="3117"/>
  </r>
  <r>
    <s v="B-26734"/>
    <x v="278"/>
    <x v="480"/>
    <x v="8"/>
    <x v="2"/>
    <x v="73"/>
    <n v="868"/>
    <n v="44262"/>
    <n v="1065"/>
  </r>
  <r>
    <s v="B-25483"/>
    <x v="421"/>
    <x v="481"/>
    <x v="13"/>
    <x v="2"/>
    <x v="37"/>
    <n v="6078"/>
    <n v="133710"/>
    <n v="3876"/>
  </r>
  <r>
    <s v="B-26041"/>
    <x v="422"/>
    <x v="482"/>
    <x v="13"/>
    <x v="0"/>
    <x v="1"/>
    <n v="9519"/>
    <n v="228464"/>
    <n v="512"/>
  </r>
  <r>
    <s v="B-26750"/>
    <x v="423"/>
    <x v="483"/>
    <x v="5"/>
    <x v="2"/>
    <x v="27"/>
    <n v="5634"/>
    <n v="39441"/>
    <n v="1214"/>
  </r>
  <r>
    <s v="B-26138"/>
    <x v="424"/>
    <x v="484"/>
    <x v="15"/>
    <x v="2"/>
    <x v="3"/>
    <n v="3116"/>
    <n v="59207"/>
    <n v="611"/>
  </r>
  <r>
    <s v="B-26929"/>
    <x v="425"/>
    <x v="485"/>
    <x v="10"/>
    <x v="2"/>
    <x v="42"/>
    <n v="9130"/>
    <n v="9130"/>
    <n v="3043"/>
  </r>
  <r>
    <s v="B-25359"/>
    <x v="426"/>
    <x v="486"/>
    <x v="13"/>
    <x v="2"/>
    <x v="55"/>
    <n v="711"/>
    <n v="2133"/>
    <n v="300"/>
  </r>
  <r>
    <s v="B-25738"/>
    <x v="427"/>
    <x v="487"/>
    <x v="12"/>
    <x v="1"/>
    <x v="22"/>
    <n v="10076"/>
    <n v="362722"/>
    <n v="5998"/>
  </r>
  <r>
    <s v="B-25931"/>
    <x v="282"/>
    <x v="488"/>
    <x v="16"/>
    <x v="2"/>
    <x v="18"/>
    <n v="6662"/>
    <n v="119908"/>
    <n v="3178"/>
  </r>
  <r>
    <s v="B-25706"/>
    <x v="258"/>
    <x v="489"/>
    <x v="4"/>
    <x v="0"/>
    <x v="43"/>
    <n v="7456"/>
    <n v="74559"/>
    <n v="1969"/>
  </r>
  <r>
    <s v="B-25352"/>
    <x v="267"/>
    <x v="490"/>
    <x v="0"/>
    <x v="0"/>
    <x v="18"/>
    <n v="3372"/>
    <n v="60694"/>
    <n v="700"/>
  </r>
  <r>
    <s v="B-26909"/>
    <x v="428"/>
    <x v="491"/>
    <x v="13"/>
    <x v="2"/>
    <x v="46"/>
    <n v="8086"/>
    <n v="32346"/>
    <n v="1202"/>
  </r>
  <r>
    <s v="B-26296"/>
    <x v="429"/>
    <x v="492"/>
    <x v="4"/>
    <x v="0"/>
    <x v="45"/>
    <n v="8049"/>
    <n v="48292"/>
    <n v="2428"/>
  </r>
  <r>
    <s v="B-26112"/>
    <x v="430"/>
    <x v="493"/>
    <x v="6"/>
    <x v="2"/>
    <x v="43"/>
    <n v="1525"/>
    <n v="15254"/>
    <n v="494"/>
  </r>
  <r>
    <s v="B-26790"/>
    <x v="348"/>
    <x v="494"/>
    <x v="8"/>
    <x v="2"/>
    <x v="11"/>
    <n v="3926"/>
    <n v="66746"/>
    <n v="1789"/>
  </r>
  <r>
    <s v="B-25986"/>
    <x v="431"/>
    <x v="495"/>
    <x v="6"/>
    <x v="2"/>
    <x v="7"/>
    <n v="1371"/>
    <n v="10969"/>
    <n v="457"/>
  </r>
  <r>
    <s v="B-25630"/>
    <x v="432"/>
    <x v="496"/>
    <x v="15"/>
    <x v="0"/>
    <x v="19"/>
    <n v="6107"/>
    <n v="73284"/>
    <n v="1872"/>
  </r>
  <r>
    <s v="B-26872"/>
    <x v="433"/>
    <x v="497"/>
    <x v="2"/>
    <x v="1"/>
    <x v="1"/>
    <n v="3806"/>
    <n v="91336"/>
    <n v="802"/>
  </r>
  <r>
    <s v="B-25870"/>
    <x v="71"/>
    <x v="498"/>
    <x v="12"/>
    <x v="0"/>
    <x v="11"/>
    <n v="5681"/>
    <n v="96583"/>
    <n v="2114"/>
  </r>
  <r>
    <s v="B-25991"/>
    <x v="237"/>
    <x v="499"/>
    <x v="15"/>
    <x v="0"/>
    <x v="55"/>
    <n v="3747"/>
    <n v="11241"/>
    <n v="933"/>
  </r>
  <r>
    <s v="B-25198"/>
    <x v="434"/>
    <x v="500"/>
    <x v="7"/>
    <x v="0"/>
    <x v="33"/>
    <n v="10192"/>
    <n v="112110"/>
    <n v="3870"/>
  </r>
  <r>
    <s v="B-25189"/>
    <x v="435"/>
    <x v="501"/>
    <x v="8"/>
    <x v="1"/>
    <x v="7"/>
    <n v="7651"/>
    <n v="61210"/>
    <n v="250"/>
  </r>
  <r>
    <s v="B-26563"/>
    <x v="120"/>
    <x v="502"/>
    <x v="10"/>
    <x v="2"/>
    <x v="52"/>
    <n v="4632"/>
    <n v="23161"/>
    <n v="1591"/>
  </r>
  <r>
    <s v="B-25548"/>
    <x v="436"/>
    <x v="503"/>
    <x v="9"/>
    <x v="0"/>
    <x v="19"/>
    <n v="8934"/>
    <n v="107211"/>
    <n v="999"/>
  </r>
  <r>
    <s v="B-25965"/>
    <x v="437"/>
    <x v="504"/>
    <x v="14"/>
    <x v="0"/>
    <x v="46"/>
    <n v="680"/>
    <n v="2720"/>
    <n v="544"/>
  </r>
  <r>
    <s v="B-26545"/>
    <x v="438"/>
    <x v="505"/>
    <x v="13"/>
    <x v="1"/>
    <x v="24"/>
    <n v="544"/>
    <n v="10882"/>
    <n v="142"/>
  </r>
  <r>
    <s v="B-26603"/>
    <x v="439"/>
    <x v="506"/>
    <x v="7"/>
    <x v="0"/>
    <x v="27"/>
    <n v="6324"/>
    <n v="44269"/>
    <n v="2661"/>
  </r>
  <r>
    <s v="B-26393"/>
    <x v="436"/>
    <x v="507"/>
    <x v="6"/>
    <x v="0"/>
    <x v="22"/>
    <n v="2266"/>
    <n v="81558"/>
    <n v="270"/>
  </r>
  <r>
    <s v="B-26628"/>
    <x v="440"/>
    <x v="508"/>
    <x v="14"/>
    <x v="2"/>
    <x v="45"/>
    <n v="11055"/>
    <n v="66332"/>
    <n v="8678"/>
  </r>
  <r>
    <s v="B-25945"/>
    <x v="441"/>
    <x v="509"/>
    <x v="15"/>
    <x v="0"/>
    <x v="13"/>
    <n v="10172"/>
    <n v="152581"/>
    <n v="3301"/>
  </r>
  <r>
    <s v="B-26565"/>
    <x v="312"/>
    <x v="510"/>
    <x v="16"/>
    <x v="1"/>
    <x v="27"/>
    <n v="10528"/>
    <n v="73696"/>
    <n v="4585"/>
  </r>
  <r>
    <s v="B-25684"/>
    <x v="442"/>
    <x v="511"/>
    <x v="4"/>
    <x v="0"/>
    <x v="48"/>
    <n v="3649"/>
    <n v="109470"/>
    <n v="2670"/>
  </r>
  <r>
    <s v="B-26612"/>
    <x v="5"/>
    <x v="512"/>
    <x v="10"/>
    <x v="2"/>
    <x v="62"/>
    <n v="8065"/>
    <n v="169362"/>
    <n v="3450"/>
  </r>
  <r>
    <s v="B-25839"/>
    <x v="443"/>
    <x v="513"/>
    <x v="11"/>
    <x v="1"/>
    <x v="39"/>
    <n v="4719"/>
    <n v="42467"/>
    <n v="1778"/>
  </r>
  <r>
    <s v="B-25898"/>
    <x v="444"/>
    <x v="514"/>
    <x v="6"/>
    <x v="2"/>
    <x v="43"/>
    <n v="7323"/>
    <n v="73227"/>
    <n v="2317"/>
  </r>
  <r>
    <s v="B-26120"/>
    <x v="445"/>
    <x v="234"/>
    <x v="12"/>
    <x v="1"/>
    <x v="14"/>
    <n v="2137"/>
    <n v="34190"/>
    <n v="574"/>
  </r>
  <r>
    <s v="B-26426"/>
    <x v="446"/>
    <x v="515"/>
    <x v="17"/>
    <x v="1"/>
    <x v="39"/>
    <n v="8863"/>
    <n v="79764"/>
    <n v="1968"/>
  </r>
  <r>
    <s v="B-26309"/>
    <x v="447"/>
    <x v="516"/>
    <x v="6"/>
    <x v="2"/>
    <x v="7"/>
    <n v="7502"/>
    <n v="60014"/>
    <n v="6638"/>
  </r>
  <r>
    <s v="B-26789"/>
    <x v="424"/>
    <x v="517"/>
    <x v="9"/>
    <x v="1"/>
    <x v="19"/>
    <n v="4708"/>
    <n v="56491"/>
    <n v="103"/>
  </r>
  <r>
    <s v="B-26420"/>
    <x v="76"/>
    <x v="518"/>
    <x v="14"/>
    <x v="2"/>
    <x v="6"/>
    <n v="4968"/>
    <n v="139118"/>
    <n v="2002"/>
  </r>
  <r>
    <s v="B-26257"/>
    <x v="448"/>
    <x v="519"/>
    <x v="9"/>
    <x v="2"/>
    <x v="6"/>
    <n v="5609"/>
    <n v="157056"/>
    <n v="4176"/>
  </r>
  <r>
    <s v="B-25603"/>
    <x v="449"/>
    <x v="520"/>
    <x v="4"/>
    <x v="1"/>
    <x v="65"/>
    <n v="9365"/>
    <n v="355878"/>
    <n v="3542"/>
  </r>
  <r>
    <s v="B-25010"/>
    <x v="166"/>
    <x v="521"/>
    <x v="14"/>
    <x v="1"/>
    <x v="48"/>
    <n v="7940"/>
    <n v="238214"/>
    <n v="2114"/>
  </r>
  <r>
    <s v="B-25889"/>
    <x v="367"/>
    <x v="522"/>
    <x v="3"/>
    <x v="0"/>
    <x v="22"/>
    <n v="8066"/>
    <n v="290391"/>
    <n v="2679"/>
  </r>
  <r>
    <s v="B-26675"/>
    <x v="417"/>
    <x v="523"/>
    <x v="1"/>
    <x v="0"/>
    <x v="22"/>
    <n v="6621"/>
    <n v="238342"/>
    <n v="4378"/>
  </r>
  <r>
    <s v="B-26168"/>
    <x v="450"/>
    <x v="524"/>
    <x v="6"/>
    <x v="1"/>
    <x v="39"/>
    <n v="9080"/>
    <n v="81722"/>
    <n v="2090"/>
  </r>
  <r>
    <s v="B-25436"/>
    <x v="16"/>
    <x v="525"/>
    <x v="6"/>
    <x v="1"/>
    <x v="45"/>
    <n v="9255"/>
    <n v="55532"/>
    <n v="7268"/>
  </r>
  <r>
    <s v="B-25794"/>
    <x v="451"/>
    <x v="526"/>
    <x v="11"/>
    <x v="2"/>
    <x v="14"/>
    <n v="7500"/>
    <n v="120006"/>
    <n v="1334"/>
  </r>
  <r>
    <s v="B-26495"/>
    <x v="452"/>
    <x v="527"/>
    <x v="17"/>
    <x v="1"/>
    <x v="55"/>
    <n v="3670"/>
    <n v="11011"/>
    <n v="658"/>
  </r>
  <r>
    <s v="B-25815"/>
    <x v="453"/>
    <x v="528"/>
    <x v="7"/>
    <x v="0"/>
    <x v="46"/>
    <n v="9170"/>
    <n v="36679"/>
    <n v="2555"/>
  </r>
  <r>
    <s v="B-25022"/>
    <x v="454"/>
    <x v="529"/>
    <x v="3"/>
    <x v="2"/>
    <x v="48"/>
    <n v="6703"/>
    <n v="201076"/>
    <n v="1696"/>
  </r>
  <r>
    <s v="B-26928"/>
    <x v="455"/>
    <x v="530"/>
    <x v="15"/>
    <x v="0"/>
    <x v="45"/>
    <n v="2704"/>
    <n v="16225"/>
    <n v="907"/>
  </r>
  <r>
    <s v="B-25905"/>
    <x v="99"/>
    <x v="531"/>
    <x v="3"/>
    <x v="0"/>
    <x v="55"/>
    <n v="9652"/>
    <n v="28955"/>
    <n v="3485"/>
  </r>
  <r>
    <s v="B-26739"/>
    <x v="234"/>
    <x v="532"/>
    <x v="0"/>
    <x v="2"/>
    <x v="45"/>
    <n v="3132"/>
    <n v="18794"/>
    <n v="2660"/>
  </r>
  <r>
    <s v="B-25697"/>
    <x v="456"/>
    <x v="533"/>
    <x v="8"/>
    <x v="2"/>
    <x v="4"/>
    <n v="819"/>
    <n v="11464"/>
    <n v="54"/>
  </r>
  <r>
    <s v="B-25234"/>
    <x v="457"/>
    <x v="534"/>
    <x v="13"/>
    <x v="1"/>
    <x v="46"/>
    <n v="5214"/>
    <n v="20854"/>
    <n v="758"/>
  </r>
  <r>
    <s v="B-25665"/>
    <x v="458"/>
    <x v="535"/>
    <x v="13"/>
    <x v="0"/>
    <x v="22"/>
    <n v="9098"/>
    <n v="327520"/>
    <n v="4888"/>
  </r>
  <r>
    <s v="B-25028"/>
    <x v="459"/>
    <x v="536"/>
    <x v="1"/>
    <x v="1"/>
    <x v="19"/>
    <n v="1966"/>
    <n v="23591"/>
    <n v="59"/>
  </r>
  <r>
    <s v="B-26659"/>
    <x v="460"/>
    <x v="537"/>
    <x v="17"/>
    <x v="2"/>
    <x v="46"/>
    <n v="547"/>
    <n v="2187"/>
    <n v="83"/>
  </r>
  <r>
    <s v="B-25966"/>
    <x v="461"/>
    <x v="538"/>
    <x v="8"/>
    <x v="2"/>
    <x v="18"/>
    <n v="6431"/>
    <n v="115758"/>
    <n v="6084"/>
  </r>
  <r>
    <s v="B-25350"/>
    <x v="462"/>
    <x v="539"/>
    <x v="7"/>
    <x v="0"/>
    <x v="52"/>
    <n v="7748"/>
    <n v="38741"/>
    <n v="246"/>
  </r>
  <r>
    <s v="B-26370"/>
    <x v="463"/>
    <x v="540"/>
    <x v="3"/>
    <x v="2"/>
    <x v="13"/>
    <n v="9065"/>
    <n v="135969"/>
    <n v="3594"/>
  </r>
  <r>
    <s v="B-26298"/>
    <x v="464"/>
    <x v="541"/>
    <x v="5"/>
    <x v="0"/>
    <x v="1"/>
    <n v="2162"/>
    <n v="51894"/>
    <n v="1926"/>
  </r>
  <r>
    <s v="B-25068"/>
    <x v="465"/>
    <x v="542"/>
    <x v="17"/>
    <x v="1"/>
    <x v="41"/>
    <n v="927"/>
    <n v="12045"/>
    <n v="1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894CBC-DC48-4FC0-9883-E693E1FD4842}"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12">
    <pivotField showAll="0"/>
    <pivotField numFmtId="14" showAll="0">
      <items count="467">
        <item x="4"/>
        <item x="97"/>
        <item x="172"/>
        <item x="242"/>
        <item x="28"/>
        <item x="353"/>
        <item x="279"/>
        <item x="153"/>
        <item x="5"/>
        <item x="38"/>
        <item x="93"/>
        <item x="319"/>
        <item x="423"/>
        <item x="219"/>
        <item x="428"/>
        <item x="354"/>
        <item x="403"/>
        <item x="314"/>
        <item x="152"/>
        <item x="425"/>
        <item x="459"/>
        <item x="312"/>
        <item x="381"/>
        <item x="113"/>
        <item x="357"/>
        <item x="149"/>
        <item x="105"/>
        <item x="338"/>
        <item x="144"/>
        <item x="385"/>
        <item x="377"/>
        <item x="201"/>
        <item x="122"/>
        <item x="348"/>
        <item x="106"/>
        <item x="272"/>
        <item x="182"/>
        <item x="409"/>
        <item x="426"/>
        <item x="109"/>
        <item x="268"/>
        <item x="198"/>
        <item x="220"/>
        <item x="142"/>
        <item x="131"/>
        <item x="317"/>
        <item x="22"/>
        <item x="187"/>
        <item x="9"/>
        <item x="107"/>
        <item x="345"/>
        <item x="404"/>
        <item x="411"/>
        <item x="81"/>
        <item x="65"/>
        <item x="156"/>
        <item x="266"/>
        <item x="297"/>
        <item x="168"/>
        <item x="331"/>
        <item x="77"/>
        <item x="286"/>
        <item x="315"/>
        <item x="175"/>
        <item x="80"/>
        <item x="193"/>
        <item x="374"/>
        <item x="369"/>
        <item x="324"/>
        <item x="226"/>
        <item x="456"/>
        <item x="347"/>
        <item x="71"/>
        <item x="304"/>
        <item x="431"/>
        <item x="237"/>
        <item x="461"/>
        <item x="239"/>
        <item x="102"/>
        <item x="458"/>
        <item x="370"/>
        <item x="223"/>
        <item x="438"/>
        <item x="400"/>
        <item x="214"/>
        <item x="68"/>
        <item x="318"/>
        <item x="310"/>
        <item x="325"/>
        <item x="56"/>
        <item x="421"/>
        <item x="199"/>
        <item x="178"/>
        <item x="179"/>
        <item x="135"/>
        <item x="120"/>
        <item x="451"/>
        <item x="422"/>
        <item x="351"/>
        <item x="350"/>
        <item x="139"/>
        <item x="159"/>
        <item x="222"/>
        <item x="31"/>
        <item x="121"/>
        <item x="45"/>
        <item x="384"/>
        <item x="329"/>
        <item x="177"/>
        <item x="58"/>
        <item x="262"/>
        <item x="415"/>
        <item x="263"/>
        <item x="180"/>
        <item x="342"/>
        <item x="264"/>
        <item x="112"/>
        <item x="51"/>
        <item x="388"/>
        <item x="207"/>
        <item x="427"/>
        <item x="164"/>
        <item x="85"/>
        <item x="295"/>
        <item x="280"/>
        <item x="429"/>
        <item x="11"/>
        <item x="368"/>
        <item x="37"/>
        <item x="360"/>
        <item x="460"/>
        <item x="63"/>
        <item x="115"/>
        <item x="21"/>
        <item x="251"/>
        <item x="364"/>
        <item x="274"/>
        <item x="439"/>
        <item x="67"/>
        <item x="95"/>
        <item x="20"/>
        <item x="155"/>
        <item x="290"/>
        <item x="111"/>
        <item x="145"/>
        <item x="34"/>
        <item x="203"/>
        <item x="148"/>
        <item x="291"/>
        <item x="401"/>
        <item x="227"/>
        <item x="233"/>
        <item x="210"/>
        <item x="453"/>
        <item x="413"/>
        <item x="32"/>
        <item x="410"/>
        <item x="181"/>
        <item x="321"/>
        <item x="132"/>
        <item x="311"/>
        <item x="221"/>
        <item x="444"/>
        <item x="92"/>
        <item x="162"/>
        <item x="29"/>
        <item x="276"/>
        <item x="238"/>
        <item x="448"/>
        <item x="134"/>
        <item x="118"/>
        <item x="140"/>
        <item x="414"/>
        <item x="366"/>
        <item x="391"/>
        <item x="398"/>
        <item x="151"/>
        <item x="49"/>
        <item x="241"/>
        <item x="62"/>
        <item x="82"/>
        <item x="52"/>
        <item x="161"/>
        <item x="103"/>
        <item x="323"/>
        <item x="41"/>
        <item x="208"/>
        <item x="320"/>
        <item x="392"/>
        <item x="335"/>
        <item x="19"/>
        <item x="245"/>
        <item x="372"/>
        <item x="249"/>
        <item x="196"/>
        <item x="16"/>
        <item x="247"/>
        <item x="75"/>
        <item x="206"/>
        <item x="283"/>
        <item x="13"/>
        <item x="277"/>
        <item x="358"/>
        <item x="303"/>
        <item x="2"/>
        <item x="30"/>
        <item x="192"/>
        <item x="258"/>
        <item x="74"/>
        <item x="464"/>
        <item x="25"/>
        <item x="104"/>
        <item x="190"/>
        <item x="406"/>
        <item x="35"/>
        <item x="195"/>
        <item x="301"/>
        <item x="408"/>
        <item x="158"/>
        <item x="123"/>
        <item x="330"/>
        <item x="292"/>
        <item x="211"/>
        <item x="362"/>
        <item x="101"/>
        <item x="84"/>
        <item x="416"/>
        <item x="12"/>
        <item x="48"/>
        <item x="150"/>
        <item x="53"/>
        <item x="397"/>
        <item x="441"/>
        <item x="334"/>
        <item x="442"/>
        <item x="188"/>
        <item x="99"/>
        <item x="316"/>
        <item x="288"/>
        <item x="379"/>
        <item x="232"/>
        <item x="445"/>
        <item x="267"/>
        <item x="434"/>
        <item x="248"/>
        <item x="332"/>
        <item x="40"/>
        <item x="373"/>
        <item x="308"/>
        <item x="327"/>
        <item x="174"/>
        <item x="169"/>
        <item x="217"/>
        <item x="209"/>
        <item x="395"/>
        <item x="79"/>
        <item x="165"/>
        <item x="455"/>
        <item x="437"/>
        <item x="356"/>
        <item x="15"/>
        <item x="361"/>
        <item x="69"/>
        <item x="26"/>
        <item x="83"/>
        <item x="33"/>
        <item x="284"/>
        <item x="282"/>
        <item x="333"/>
        <item x="340"/>
        <item x="383"/>
        <item x="254"/>
        <item x="110"/>
        <item x="419"/>
        <item x="70"/>
        <item x="236"/>
        <item x="454"/>
        <item x="393"/>
        <item x="18"/>
        <item x="189"/>
        <item x="78"/>
        <item x="394"/>
        <item x="108"/>
        <item x="204"/>
        <item x="90"/>
        <item x="89"/>
        <item x="64"/>
        <item x="462"/>
        <item x="200"/>
        <item x="244"/>
        <item x="138"/>
        <item x="202"/>
        <item x="129"/>
        <item x="270"/>
        <item x="166"/>
        <item x="243"/>
        <item x="287"/>
        <item x="130"/>
        <item x="257"/>
        <item x="375"/>
        <item x="218"/>
        <item x="6"/>
        <item x="3"/>
        <item x="430"/>
        <item x="446"/>
        <item x="355"/>
        <item x="278"/>
        <item x="326"/>
        <item x="240"/>
        <item x="125"/>
        <item x="117"/>
        <item x="173"/>
        <item x="14"/>
        <item x="54"/>
        <item x="306"/>
        <item x="66"/>
        <item x="337"/>
        <item x="269"/>
        <item x="154"/>
        <item x="433"/>
        <item x="420"/>
        <item x="194"/>
        <item x="170"/>
        <item x="137"/>
        <item x="24"/>
        <item x="46"/>
        <item x="126"/>
        <item x="436"/>
        <item x="273"/>
        <item x="418"/>
        <item x="191"/>
        <item x="399"/>
        <item x="44"/>
        <item x="328"/>
        <item x="256"/>
        <item x="412"/>
        <item x="116"/>
        <item x="100"/>
        <item x="382"/>
        <item x="322"/>
        <item x="402"/>
        <item x="98"/>
        <item x="365"/>
        <item x="96"/>
        <item x="299"/>
        <item x="225"/>
        <item x="378"/>
        <item x="171"/>
        <item x="457"/>
        <item x="147"/>
        <item x="305"/>
        <item x="224"/>
        <item x="136"/>
        <item x="229"/>
        <item x="213"/>
        <item x="252"/>
        <item x="50"/>
        <item x="124"/>
        <item x="235"/>
        <item x="119"/>
        <item x="376"/>
        <item x="1"/>
        <item x="197"/>
        <item x="88"/>
        <item x="55"/>
        <item x="447"/>
        <item x="424"/>
        <item x="271"/>
        <item x="215"/>
        <item x="396"/>
        <item x="234"/>
        <item x="10"/>
        <item x="61"/>
        <item x="230"/>
        <item x="128"/>
        <item x="371"/>
        <item x="167"/>
        <item x="417"/>
        <item x="133"/>
        <item x="313"/>
        <item x="127"/>
        <item x="60"/>
        <item x="386"/>
        <item x="43"/>
        <item x="260"/>
        <item x="59"/>
        <item x="352"/>
        <item x="265"/>
        <item x="47"/>
        <item x="87"/>
        <item x="72"/>
        <item x="259"/>
        <item x="253"/>
        <item x="363"/>
        <item x="463"/>
        <item x="17"/>
        <item x="432"/>
        <item x="160"/>
        <item x="250"/>
        <item x="141"/>
        <item x="146"/>
        <item x="298"/>
        <item x="359"/>
        <item x="42"/>
        <item x="91"/>
        <item x="367"/>
        <item x="39"/>
        <item x="440"/>
        <item x="205"/>
        <item x="186"/>
        <item x="255"/>
        <item x="309"/>
        <item x="344"/>
        <item x="435"/>
        <item x="443"/>
        <item x="94"/>
        <item x="289"/>
        <item x="465"/>
        <item x="336"/>
        <item x="57"/>
        <item x="449"/>
        <item x="293"/>
        <item x="307"/>
        <item x="343"/>
        <item x="281"/>
        <item x="183"/>
        <item x="387"/>
        <item x="300"/>
        <item x="73"/>
        <item x="36"/>
        <item x="216"/>
        <item x="23"/>
        <item x="390"/>
        <item x="143"/>
        <item x="176"/>
        <item x="0"/>
        <item x="452"/>
        <item x="380"/>
        <item x="7"/>
        <item x="261"/>
        <item x="76"/>
        <item x="349"/>
        <item x="450"/>
        <item x="296"/>
        <item x="231"/>
        <item x="163"/>
        <item x="341"/>
        <item x="339"/>
        <item x="114"/>
        <item x="246"/>
        <item x="228"/>
        <item x="8"/>
        <item x="407"/>
        <item x="275"/>
        <item x="294"/>
        <item x="86"/>
        <item x="184"/>
        <item x="285"/>
        <item x="302"/>
        <item x="405"/>
        <item x="389"/>
        <item x="185"/>
        <item x="212"/>
        <item x="27"/>
        <item x="157"/>
        <item x="346"/>
        <item t="default"/>
      </items>
    </pivotField>
    <pivotField showAll="0"/>
    <pivotField axis="axisRow" showAll="0" measureFilter="1">
      <items count="19">
        <item x="7"/>
        <item x="10"/>
        <item x="17"/>
        <item x="9"/>
        <item x="12"/>
        <item x="16"/>
        <item x="15"/>
        <item x="14"/>
        <item x="2"/>
        <item x="0"/>
        <item x="3"/>
        <item x="1"/>
        <item x="13"/>
        <item x="5"/>
        <item x="6"/>
        <item x="8"/>
        <item x="4"/>
        <item x="11"/>
        <item t="default"/>
      </items>
    </pivotField>
    <pivotField showAll="0"/>
    <pivotField showAll="0"/>
    <pivotField dataField="1" showAll="0"/>
    <pivotField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11">
    <i>
      <x v="7"/>
    </i>
    <i>
      <x v="9"/>
    </i>
    <i>
      <x v="10"/>
    </i>
    <i>
      <x v="11"/>
    </i>
    <i>
      <x v="12"/>
    </i>
    <i>
      <x v="13"/>
    </i>
    <i>
      <x v="14"/>
    </i>
    <i>
      <x v="15"/>
    </i>
    <i>
      <x v="16"/>
    </i>
    <i>
      <x v="17"/>
    </i>
    <i t="grand">
      <x/>
    </i>
  </rowItems>
  <colItems count="1">
    <i/>
  </colItems>
  <dataFields count="1">
    <dataField name="Sum of Amount" fld="6"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D8B70B-F998-4A6B-AB8F-DD803882D36F}" name="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0:L34" firstHeaderRow="1" firstDataRow="1" firstDataCol="1"/>
  <pivotFields count="12">
    <pivotField showAll="0"/>
    <pivotField numFmtId="14" showAll="0">
      <items count="467">
        <item x="4"/>
        <item x="97"/>
        <item x="172"/>
        <item x="242"/>
        <item x="28"/>
        <item x="353"/>
        <item x="279"/>
        <item x="153"/>
        <item x="5"/>
        <item x="38"/>
        <item x="93"/>
        <item x="319"/>
        <item x="423"/>
        <item x="219"/>
        <item x="428"/>
        <item x="354"/>
        <item x="403"/>
        <item x="314"/>
        <item x="152"/>
        <item x="425"/>
        <item x="459"/>
        <item x="312"/>
        <item x="381"/>
        <item x="113"/>
        <item x="357"/>
        <item x="149"/>
        <item x="105"/>
        <item x="338"/>
        <item x="144"/>
        <item x="385"/>
        <item x="377"/>
        <item x="201"/>
        <item x="122"/>
        <item x="348"/>
        <item x="106"/>
        <item x="272"/>
        <item x="182"/>
        <item x="409"/>
        <item x="426"/>
        <item x="109"/>
        <item x="268"/>
        <item x="198"/>
        <item x="220"/>
        <item x="142"/>
        <item x="131"/>
        <item x="317"/>
        <item x="22"/>
        <item x="187"/>
        <item x="9"/>
        <item x="107"/>
        <item x="345"/>
        <item x="404"/>
        <item x="411"/>
        <item x="81"/>
        <item x="65"/>
        <item x="156"/>
        <item x="266"/>
        <item x="297"/>
        <item x="168"/>
        <item x="331"/>
        <item x="77"/>
        <item x="286"/>
        <item x="315"/>
        <item x="175"/>
        <item x="80"/>
        <item x="193"/>
        <item x="374"/>
        <item x="369"/>
        <item x="324"/>
        <item x="226"/>
        <item x="456"/>
        <item x="347"/>
        <item x="71"/>
        <item x="304"/>
        <item x="431"/>
        <item x="237"/>
        <item x="461"/>
        <item x="239"/>
        <item x="102"/>
        <item x="458"/>
        <item x="370"/>
        <item x="223"/>
        <item x="438"/>
        <item x="400"/>
        <item x="214"/>
        <item x="68"/>
        <item x="318"/>
        <item x="310"/>
        <item x="325"/>
        <item x="56"/>
        <item x="421"/>
        <item x="199"/>
        <item x="178"/>
        <item x="179"/>
        <item x="135"/>
        <item x="120"/>
        <item x="451"/>
        <item x="422"/>
        <item x="351"/>
        <item x="350"/>
        <item x="139"/>
        <item x="159"/>
        <item x="222"/>
        <item x="31"/>
        <item x="121"/>
        <item x="45"/>
        <item x="384"/>
        <item x="329"/>
        <item x="177"/>
        <item x="58"/>
        <item x="262"/>
        <item x="415"/>
        <item x="263"/>
        <item x="180"/>
        <item x="342"/>
        <item x="264"/>
        <item x="112"/>
        <item x="51"/>
        <item x="388"/>
        <item x="207"/>
        <item x="427"/>
        <item x="164"/>
        <item x="85"/>
        <item x="295"/>
        <item x="280"/>
        <item x="429"/>
        <item x="11"/>
        <item x="368"/>
        <item x="37"/>
        <item x="360"/>
        <item x="460"/>
        <item x="63"/>
        <item x="115"/>
        <item x="21"/>
        <item x="251"/>
        <item x="364"/>
        <item x="274"/>
        <item x="439"/>
        <item x="67"/>
        <item x="95"/>
        <item x="20"/>
        <item x="155"/>
        <item x="290"/>
        <item x="111"/>
        <item x="145"/>
        <item x="34"/>
        <item x="203"/>
        <item x="148"/>
        <item x="291"/>
        <item x="401"/>
        <item x="227"/>
        <item x="233"/>
        <item x="210"/>
        <item x="453"/>
        <item x="413"/>
        <item x="32"/>
        <item x="410"/>
        <item x="181"/>
        <item x="321"/>
        <item x="132"/>
        <item x="311"/>
        <item x="221"/>
        <item x="444"/>
        <item x="92"/>
        <item x="162"/>
        <item x="29"/>
        <item x="276"/>
        <item x="238"/>
        <item x="448"/>
        <item x="134"/>
        <item x="118"/>
        <item x="140"/>
        <item x="414"/>
        <item x="366"/>
        <item x="391"/>
        <item x="398"/>
        <item x="151"/>
        <item x="49"/>
        <item x="241"/>
        <item x="62"/>
        <item x="82"/>
        <item x="52"/>
        <item x="161"/>
        <item x="103"/>
        <item x="323"/>
        <item x="41"/>
        <item x="208"/>
        <item x="320"/>
        <item x="392"/>
        <item x="335"/>
        <item x="19"/>
        <item x="245"/>
        <item x="372"/>
        <item x="249"/>
        <item x="196"/>
        <item x="16"/>
        <item x="247"/>
        <item x="75"/>
        <item x="206"/>
        <item x="283"/>
        <item x="13"/>
        <item x="277"/>
        <item x="358"/>
        <item x="303"/>
        <item x="2"/>
        <item x="30"/>
        <item x="192"/>
        <item x="258"/>
        <item x="74"/>
        <item x="464"/>
        <item x="25"/>
        <item x="104"/>
        <item x="190"/>
        <item x="406"/>
        <item x="35"/>
        <item x="195"/>
        <item x="301"/>
        <item x="408"/>
        <item x="158"/>
        <item x="123"/>
        <item x="330"/>
        <item x="292"/>
        <item x="211"/>
        <item x="362"/>
        <item x="101"/>
        <item x="84"/>
        <item x="416"/>
        <item x="12"/>
        <item x="48"/>
        <item x="150"/>
        <item x="53"/>
        <item x="397"/>
        <item x="441"/>
        <item x="334"/>
        <item x="442"/>
        <item x="188"/>
        <item x="99"/>
        <item x="316"/>
        <item x="288"/>
        <item x="379"/>
        <item x="232"/>
        <item x="445"/>
        <item x="267"/>
        <item x="434"/>
        <item x="248"/>
        <item x="332"/>
        <item x="40"/>
        <item x="373"/>
        <item x="308"/>
        <item x="327"/>
        <item x="174"/>
        <item x="169"/>
        <item x="217"/>
        <item x="209"/>
        <item x="395"/>
        <item x="79"/>
        <item x="165"/>
        <item x="455"/>
        <item x="437"/>
        <item x="356"/>
        <item x="15"/>
        <item x="361"/>
        <item x="69"/>
        <item x="26"/>
        <item x="83"/>
        <item x="33"/>
        <item x="284"/>
        <item x="282"/>
        <item x="333"/>
        <item x="340"/>
        <item x="383"/>
        <item x="254"/>
        <item x="110"/>
        <item x="419"/>
        <item x="70"/>
        <item x="236"/>
        <item x="454"/>
        <item x="393"/>
        <item x="18"/>
        <item x="189"/>
        <item x="78"/>
        <item x="394"/>
        <item x="108"/>
        <item x="204"/>
        <item x="90"/>
        <item x="89"/>
        <item x="64"/>
        <item x="462"/>
        <item x="200"/>
        <item x="244"/>
        <item x="138"/>
        <item x="202"/>
        <item x="129"/>
        <item x="270"/>
        <item x="166"/>
        <item x="243"/>
        <item x="287"/>
        <item x="130"/>
        <item x="257"/>
        <item x="375"/>
        <item x="218"/>
        <item x="6"/>
        <item x="3"/>
        <item x="430"/>
        <item x="446"/>
        <item x="355"/>
        <item x="278"/>
        <item x="326"/>
        <item x="240"/>
        <item x="125"/>
        <item x="117"/>
        <item x="173"/>
        <item x="14"/>
        <item x="54"/>
        <item x="306"/>
        <item x="66"/>
        <item x="337"/>
        <item x="269"/>
        <item x="154"/>
        <item x="433"/>
        <item x="420"/>
        <item x="194"/>
        <item x="170"/>
        <item x="137"/>
        <item x="24"/>
        <item x="46"/>
        <item x="126"/>
        <item x="436"/>
        <item x="273"/>
        <item x="418"/>
        <item x="191"/>
        <item x="399"/>
        <item x="44"/>
        <item x="328"/>
        <item x="256"/>
        <item x="412"/>
        <item x="116"/>
        <item x="100"/>
        <item x="382"/>
        <item x="322"/>
        <item x="402"/>
        <item x="98"/>
        <item x="365"/>
        <item x="96"/>
        <item x="299"/>
        <item x="225"/>
        <item x="378"/>
        <item x="171"/>
        <item x="457"/>
        <item x="147"/>
        <item x="305"/>
        <item x="224"/>
        <item x="136"/>
        <item x="229"/>
        <item x="213"/>
        <item x="252"/>
        <item x="50"/>
        <item x="124"/>
        <item x="235"/>
        <item x="119"/>
        <item x="376"/>
        <item x="1"/>
        <item x="197"/>
        <item x="88"/>
        <item x="55"/>
        <item x="447"/>
        <item x="424"/>
        <item x="271"/>
        <item x="215"/>
        <item x="396"/>
        <item x="234"/>
        <item x="10"/>
        <item x="61"/>
        <item x="230"/>
        <item x="128"/>
        <item x="371"/>
        <item x="167"/>
        <item x="417"/>
        <item x="133"/>
        <item x="313"/>
        <item x="127"/>
        <item x="60"/>
        <item x="386"/>
        <item x="43"/>
        <item x="260"/>
        <item x="59"/>
        <item x="352"/>
        <item x="265"/>
        <item x="47"/>
        <item x="87"/>
        <item x="72"/>
        <item x="259"/>
        <item x="253"/>
        <item x="363"/>
        <item x="463"/>
        <item x="17"/>
        <item x="432"/>
        <item x="160"/>
        <item x="250"/>
        <item x="141"/>
        <item x="146"/>
        <item x="298"/>
        <item x="359"/>
        <item x="42"/>
        <item x="91"/>
        <item x="367"/>
        <item x="39"/>
        <item x="440"/>
        <item x="205"/>
        <item x="186"/>
        <item x="255"/>
        <item x="309"/>
        <item x="344"/>
        <item x="435"/>
        <item x="443"/>
        <item x="94"/>
        <item x="289"/>
        <item x="465"/>
        <item x="336"/>
        <item x="57"/>
        <item x="449"/>
        <item x="293"/>
        <item x="307"/>
        <item x="343"/>
        <item x="281"/>
        <item x="183"/>
        <item x="387"/>
        <item x="300"/>
        <item x="73"/>
        <item x="36"/>
        <item x="216"/>
        <item x="23"/>
        <item x="390"/>
        <item x="143"/>
        <item x="176"/>
        <item x="0"/>
        <item x="452"/>
        <item x="380"/>
        <item x="7"/>
        <item x="261"/>
        <item x="76"/>
        <item x="349"/>
        <item x="450"/>
        <item x="296"/>
        <item x="231"/>
        <item x="163"/>
        <item x="341"/>
        <item x="339"/>
        <item x="114"/>
        <item x="246"/>
        <item x="228"/>
        <item x="8"/>
        <item x="407"/>
        <item x="275"/>
        <item x="294"/>
        <item x="86"/>
        <item x="184"/>
        <item x="285"/>
        <item x="302"/>
        <item x="405"/>
        <item x="389"/>
        <item x="185"/>
        <item x="212"/>
        <item x="27"/>
        <item x="157"/>
        <item x="346"/>
        <item t="default"/>
      </items>
    </pivotField>
    <pivotField showAll="0"/>
    <pivotField showAll="0"/>
    <pivotField axis="axisRow" showAll="0">
      <items count="4">
        <item x="0"/>
        <item x="2"/>
        <item x="1"/>
        <item t="default"/>
      </items>
    </pivotField>
    <pivotField showAll="0">
      <items count="79">
        <item x="42"/>
        <item x="8"/>
        <item x="55"/>
        <item x="46"/>
        <item x="52"/>
        <item x="45"/>
        <item x="27"/>
        <item x="7"/>
        <item x="39"/>
        <item x="43"/>
        <item x="33"/>
        <item x="19"/>
        <item x="41"/>
        <item x="4"/>
        <item x="13"/>
        <item x="14"/>
        <item x="11"/>
        <item x="18"/>
        <item x="3"/>
        <item x="24"/>
        <item x="62"/>
        <item x="37"/>
        <item x="1"/>
        <item x="5"/>
        <item x="2"/>
        <item x="15"/>
        <item x="6"/>
        <item x="49"/>
        <item x="48"/>
        <item x="59"/>
        <item x="25"/>
        <item x="34"/>
        <item x="53"/>
        <item x="60"/>
        <item x="22"/>
        <item x="21"/>
        <item x="65"/>
        <item x="9"/>
        <item x="12"/>
        <item x="38"/>
        <item x="57"/>
        <item x="17"/>
        <item x="26"/>
        <item x="10"/>
        <item x="50"/>
        <item x="30"/>
        <item x="58"/>
        <item x="73"/>
        <item x="28"/>
        <item x="29"/>
        <item x="67"/>
        <item x="0"/>
        <item x="68"/>
        <item x="23"/>
        <item x="51"/>
        <item x="69"/>
        <item x="20"/>
        <item x="44"/>
        <item x="32"/>
        <item x="40"/>
        <item x="35"/>
        <item x="54"/>
        <item x="16"/>
        <item x="74"/>
        <item x="64"/>
        <item x="76"/>
        <item x="31"/>
        <item x="63"/>
        <item x="61"/>
        <item x="75"/>
        <item x="47"/>
        <item x="66"/>
        <item x="70"/>
        <item x="71"/>
        <item x="36"/>
        <item x="77"/>
        <item x="56"/>
        <item x="72"/>
        <item t="default"/>
      </items>
    </pivotField>
    <pivotField showAll="0"/>
    <pivotField showAll="0"/>
    <pivotField dataField="1"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9">
        <item sd="0" x="0"/>
        <item sd="0" x="1"/>
        <item sd="0" x="2"/>
        <item sd="0" x="3"/>
        <item sd="0" x="4"/>
        <item sd="0" x="5"/>
        <item sd="0" x="6"/>
        <item sd="0" x="7"/>
        <item t="default"/>
      </items>
    </pivotField>
  </pivotFields>
  <rowFields count="1">
    <field x="4"/>
  </rowFields>
  <rowItems count="4">
    <i>
      <x/>
    </i>
    <i>
      <x v="1"/>
    </i>
    <i>
      <x v="2"/>
    </i>
    <i t="grand">
      <x/>
    </i>
  </rowItems>
  <colItems count="1">
    <i/>
  </colItems>
  <dataFields count="1">
    <dataField name="Sum of Total Profit" fld="8"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E8536B-48E4-41E1-B327-A4C9DE32899E}"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4:H37" firstHeaderRow="1" firstDataRow="1" firstDataCol="1"/>
  <pivotFields count="12">
    <pivotField showAll="0"/>
    <pivotField axis="axisRow" numFmtId="14" showAll="0">
      <items count="467">
        <item x="4"/>
        <item x="97"/>
        <item x="172"/>
        <item x="242"/>
        <item x="28"/>
        <item x="353"/>
        <item x="279"/>
        <item x="153"/>
        <item x="5"/>
        <item x="38"/>
        <item x="93"/>
        <item x="319"/>
        <item x="423"/>
        <item x="219"/>
        <item x="428"/>
        <item x="354"/>
        <item x="403"/>
        <item x="314"/>
        <item x="152"/>
        <item x="425"/>
        <item x="459"/>
        <item x="312"/>
        <item x="381"/>
        <item x="113"/>
        <item x="357"/>
        <item x="149"/>
        <item x="105"/>
        <item x="338"/>
        <item x="144"/>
        <item x="385"/>
        <item x="377"/>
        <item x="201"/>
        <item x="122"/>
        <item x="348"/>
        <item x="106"/>
        <item x="272"/>
        <item x="182"/>
        <item x="409"/>
        <item x="426"/>
        <item x="109"/>
        <item x="268"/>
        <item x="198"/>
        <item x="220"/>
        <item x="142"/>
        <item x="131"/>
        <item x="317"/>
        <item x="22"/>
        <item x="187"/>
        <item x="9"/>
        <item x="107"/>
        <item x="345"/>
        <item x="404"/>
        <item x="411"/>
        <item x="81"/>
        <item x="65"/>
        <item x="156"/>
        <item x="266"/>
        <item x="297"/>
        <item x="168"/>
        <item x="331"/>
        <item x="77"/>
        <item x="286"/>
        <item x="315"/>
        <item x="175"/>
        <item x="80"/>
        <item x="193"/>
        <item x="374"/>
        <item x="369"/>
        <item x="324"/>
        <item x="226"/>
        <item x="456"/>
        <item x="347"/>
        <item x="71"/>
        <item x="304"/>
        <item x="431"/>
        <item x="237"/>
        <item x="461"/>
        <item x="239"/>
        <item x="102"/>
        <item x="458"/>
        <item x="370"/>
        <item x="223"/>
        <item x="438"/>
        <item x="400"/>
        <item x="214"/>
        <item x="68"/>
        <item x="318"/>
        <item x="310"/>
        <item x="325"/>
        <item x="56"/>
        <item x="421"/>
        <item x="199"/>
        <item x="178"/>
        <item x="179"/>
        <item x="135"/>
        <item x="120"/>
        <item x="451"/>
        <item x="422"/>
        <item x="351"/>
        <item x="350"/>
        <item x="139"/>
        <item x="159"/>
        <item x="222"/>
        <item x="31"/>
        <item x="121"/>
        <item x="45"/>
        <item x="384"/>
        <item x="329"/>
        <item x="177"/>
        <item x="58"/>
        <item x="262"/>
        <item x="415"/>
        <item x="263"/>
        <item x="180"/>
        <item x="342"/>
        <item x="264"/>
        <item x="112"/>
        <item x="51"/>
        <item x="388"/>
        <item x="207"/>
        <item x="427"/>
        <item x="164"/>
        <item x="85"/>
        <item x="295"/>
        <item x="280"/>
        <item x="429"/>
        <item x="11"/>
        <item x="368"/>
        <item x="37"/>
        <item x="360"/>
        <item x="460"/>
        <item x="63"/>
        <item x="115"/>
        <item x="21"/>
        <item x="251"/>
        <item x="364"/>
        <item x="274"/>
        <item x="439"/>
        <item x="67"/>
        <item x="95"/>
        <item x="20"/>
        <item x="155"/>
        <item x="290"/>
        <item x="111"/>
        <item x="145"/>
        <item x="34"/>
        <item x="203"/>
        <item x="148"/>
        <item x="291"/>
        <item x="401"/>
        <item x="227"/>
        <item x="233"/>
        <item x="210"/>
        <item x="453"/>
        <item x="413"/>
        <item x="32"/>
        <item x="410"/>
        <item x="181"/>
        <item x="321"/>
        <item x="132"/>
        <item x="311"/>
        <item x="221"/>
        <item x="444"/>
        <item x="92"/>
        <item x="162"/>
        <item x="29"/>
        <item x="276"/>
        <item x="238"/>
        <item x="448"/>
        <item x="134"/>
        <item x="118"/>
        <item x="140"/>
        <item x="414"/>
        <item x="366"/>
        <item x="391"/>
        <item x="398"/>
        <item x="151"/>
        <item x="49"/>
        <item x="241"/>
        <item x="62"/>
        <item x="82"/>
        <item x="52"/>
        <item x="161"/>
        <item x="103"/>
        <item x="323"/>
        <item x="41"/>
        <item x="208"/>
        <item x="320"/>
        <item x="392"/>
        <item x="335"/>
        <item x="19"/>
        <item x="245"/>
        <item x="372"/>
        <item x="249"/>
        <item x="196"/>
        <item x="16"/>
        <item x="247"/>
        <item x="75"/>
        <item x="206"/>
        <item x="283"/>
        <item x="13"/>
        <item x="277"/>
        <item x="358"/>
        <item x="303"/>
        <item x="2"/>
        <item x="30"/>
        <item x="192"/>
        <item x="258"/>
        <item x="74"/>
        <item x="464"/>
        <item x="25"/>
        <item x="104"/>
        <item x="190"/>
        <item x="406"/>
        <item x="35"/>
        <item x="195"/>
        <item x="301"/>
        <item x="408"/>
        <item x="158"/>
        <item x="123"/>
        <item x="330"/>
        <item x="292"/>
        <item x="211"/>
        <item x="362"/>
        <item x="101"/>
        <item x="84"/>
        <item x="416"/>
        <item x="12"/>
        <item x="48"/>
        <item x="150"/>
        <item x="53"/>
        <item x="397"/>
        <item x="441"/>
        <item x="334"/>
        <item x="442"/>
        <item x="188"/>
        <item x="99"/>
        <item x="316"/>
        <item x="288"/>
        <item x="379"/>
        <item x="232"/>
        <item x="445"/>
        <item x="267"/>
        <item x="434"/>
        <item x="248"/>
        <item x="332"/>
        <item x="40"/>
        <item x="373"/>
        <item x="308"/>
        <item x="327"/>
        <item x="174"/>
        <item x="169"/>
        <item x="217"/>
        <item x="209"/>
        <item x="395"/>
        <item x="79"/>
        <item x="165"/>
        <item x="455"/>
        <item x="437"/>
        <item x="356"/>
        <item x="15"/>
        <item x="361"/>
        <item x="69"/>
        <item x="26"/>
        <item x="83"/>
        <item x="33"/>
        <item x="284"/>
        <item x="282"/>
        <item x="333"/>
        <item x="340"/>
        <item x="383"/>
        <item x="254"/>
        <item x="110"/>
        <item x="419"/>
        <item x="70"/>
        <item x="236"/>
        <item x="454"/>
        <item x="393"/>
        <item x="18"/>
        <item x="189"/>
        <item x="78"/>
        <item x="394"/>
        <item x="108"/>
        <item x="204"/>
        <item x="90"/>
        <item x="89"/>
        <item x="64"/>
        <item x="462"/>
        <item x="200"/>
        <item x="244"/>
        <item x="138"/>
        <item x="202"/>
        <item x="129"/>
        <item x="270"/>
        <item x="166"/>
        <item x="243"/>
        <item x="287"/>
        <item x="130"/>
        <item x="257"/>
        <item x="375"/>
        <item x="218"/>
        <item x="6"/>
        <item x="3"/>
        <item x="430"/>
        <item x="446"/>
        <item x="355"/>
        <item x="278"/>
        <item x="326"/>
        <item x="240"/>
        <item x="125"/>
        <item x="117"/>
        <item x="173"/>
        <item x="14"/>
        <item x="54"/>
        <item x="306"/>
        <item x="66"/>
        <item x="337"/>
        <item x="269"/>
        <item x="154"/>
        <item x="433"/>
        <item x="420"/>
        <item x="194"/>
        <item x="170"/>
        <item x="137"/>
        <item x="24"/>
        <item x="46"/>
        <item x="126"/>
        <item x="436"/>
        <item x="273"/>
        <item x="418"/>
        <item x="191"/>
        <item x="399"/>
        <item x="44"/>
        <item x="328"/>
        <item x="256"/>
        <item x="412"/>
        <item x="116"/>
        <item x="100"/>
        <item x="382"/>
        <item x="322"/>
        <item x="402"/>
        <item x="98"/>
        <item x="365"/>
        <item x="96"/>
        <item x="299"/>
        <item x="225"/>
        <item x="378"/>
        <item x="171"/>
        <item x="457"/>
        <item x="147"/>
        <item x="305"/>
        <item x="224"/>
        <item x="136"/>
        <item x="229"/>
        <item x="213"/>
        <item x="252"/>
        <item x="50"/>
        <item x="124"/>
        <item x="235"/>
        <item x="119"/>
        <item x="376"/>
        <item x="1"/>
        <item x="197"/>
        <item x="88"/>
        <item x="55"/>
        <item x="447"/>
        <item x="424"/>
        <item x="271"/>
        <item x="215"/>
        <item x="396"/>
        <item x="234"/>
        <item x="10"/>
        <item x="61"/>
        <item x="230"/>
        <item x="128"/>
        <item x="371"/>
        <item x="167"/>
        <item x="417"/>
        <item x="133"/>
        <item x="313"/>
        <item x="127"/>
        <item x="60"/>
        <item x="386"/>
        <item x="43"/>
        <item x="260"/>
        <item x="59"/>
        <item x="352"/>
        <item x="265"/>
        <item x="47"/>
        <item x="87"/>
        <item x="72"/>
        <item x="259"/>
        <item x="253"/>
        <item x="363"/>
        <item x="463"/>
        <item x="17"/>
        <item x="432"/>
        <item x="160"/>
        <item x="250"/>
        <item x="141"/>
        <item x="146"/>
        <item x="298"/>
        <item x="359"/>
        <item x="42"/>
        <item x="91"/>
        <item x="367"/>
        <item x="39"/>
        <item x="440"/>
        <item x="205"/>
        <item x="186"/>
        <item x="255"/>
        <item x="309"/>
        <item x="344"/>
        <item x="435"/>
        <item x="443"/>
        <item x="94"/>
        <item x="289"/>
        <item x="465"/>
        <item x="336"/>
        <item x="57"/>
        <item x="449"/>
        <item x="293"/>
        <item x="307"/>
        <item x="343"/>
        <item x="281"/>
        <item x="183"/>
        <item x="387"/>
        <item x="300"/>
        <item x="73"/>
        <item x="36"/>
        <item x="216"/>
        <item x="23"/>
        <item x="390"/>
        <item x="143"/>
        <item x="176"/>
        <item x="0"/>
        <item x="452"/>
        <item x="380"/>
        <item x="7"/>
        <item x="261"/>
        <item x="76"/>
        <item x="349"/>
        <item x="450"/>
        <item x="296"/>
        <item x="231"/>
        <item x="163"/>
        <item x="341"/>
        <item x="339"/>
        <item x="114"/>
        <item x="246"/>
        <item x="228"/>
        <item x="8"/>
        <item x="407"/>
        <item x="275"/>
        <item x="294"/>
        <item x="86"/>
        <item x="184"/>
        <item x="285"/>
        <item x="302"/>
        <item x="405"/>
        <item x="389"/>
        <item x="185"/>
        <item x="212"/>
        <item x="27"/>
        <item x="157"/>
        <item x="346"/>
        <item t="default"/>
      </items>
    </pivotField>
    <pivotField showAll="0"/>
    <pivotField showAll="0"/>
    <pivotField showAll="0"/>
    <pivotField showAll="0"/>
    <pivotField dataField="1"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9"/>
    <field x="10"/>
    <field x="11"/>
    <field x="1"/>
  </rowFields>
  <rowItems count="13">
    <i>
      <x v="1"/>
    </i>
    <i>
      <x v="2"/>
    </i>
    <i>
      <x v="3"/>
    </i>
    <i>
      <x v="4"/>
    </i>
    <i>
      <x v="5"/>
    </i>
    <i>
      <x v="6"/>
    </i>
    <i>
      <x v="7"/>
    </i>
    <i>
      <x v="8"/>
    </i>
    <i>
      <x v="9"/>
    </i>
    <i>
      <x v="10"/>
    </i>
    <i>
      <x v="11"/>
    </i>
    <i>
      <x v="12"/>
    </i>
    <i t="grand">
      <x/>
    </i>
  </rowItems>
  <colItems count="1">
    <i/>
  </colItems>
  <dataFields count="1">
    <dataField name="Sum of Amount"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4B4762-C8C8-4599-ACA5-DAD31CB8634F}" name="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11:N22" firstHeaderRow="1" firstDataRow="1" firstDataCol="1"/>
  <pivotFields count="12">
    <pivotField showAll="0"/>
    <pivotField numFmtId="14" showAll="0">
      <items count="467">
        <item x="4"/>
        <item x="97"/>
        <item x="172"/>
        <item x="242"/>
        <item x="28"/>
        <item x="353"/>
        <item x="279"/>
        <item x="153"/>
        <item x="5"/>
        <item x="38"/>
        <item x="93"/>
        <item x="319"/>
        <item x="423"/>
        <item x="219"/>
        <item x="428"/>
        <item x="354"/>
        <item x="403"/>
        <item x="314"/>
        <item x="152"/>
        <item x="425"/>
        <item x="459"/>
        <item x="312"/>
        <item x="381"/>
        <item x="113"/>
        <item x="357"/>
        <item x="149"/>
        <item x="105"/>
        <item x="338"/>
        <item x="144"/>
        <item x="385"/>
        <item x="377"/>
        <item x="201"/>
        <item x="122"/>
        <item x="348"/>
        <item x="106"/>
        <item x="272"/>
        <item x="182"/>
        <item x="409"/>
        <item x="426"/>
        <item x="109"/>
        <item x="268"/>
        <item x="198"/>
        <item x="220"/>
        <item x="142"/>
        <item x="131"/>
        <item x="317"/>
        <item x="22"/>
        <item x="187"/>
        <item x="9"/>
        <item x="107"/>
        <item x="345"/>
        <item x="404"/>
        <item x="411"/>
        <item x="81"/>
        <item x="65"/>
        <item x="156"/>
        <item x="266"/>
        <item x="297"/>
        <item x="168"/>
        <item x="331"/>
        <item x="77"/>
        <item x="286"/>
        <item x="315"/>
        <item x="175"/>
        <item x="80"/>
        <item x="193"/>
        <item x="374"/>
        <item x="369"/>
        <item x="324"/>
        <item x="226"/>
        <item x="456"/>
        <item x="347"/>
        <item x="71"/>
        <item x="304"/>
        <item x="431"/>
        <item x="237"/>
        <item x="461"/>
        <item x="239"/>
        <item x="102"/>
        <item x="458"/>
        <item x="370"/>
        <item x="223"/>
        <item x="438"/>
        <item x="400"/>
        <item x="214"/>
        <item x="68"/>
        <item x="318"/>
        <item x="310"/>
        <item x="325"/>
        <item x="56"/>
        <item x="421"/>
        <item x="199"/>
        <item x="178"/>
        <item x="179"/>
        <item x="135"/>
        <item x="120"/>
        <item x="451"/>
        <item x="422"/>
        <item x="351"/>
        <item x="350"/>
        <item x="139"/>
        <item x="159"/>
        <item x="222"/>
        <item x="31"/>
        <item x="121"/>
        <item x="45"/>
        <item x="384"/>
        <item x="329"/>
        <item x="177"/>
        <item x="58"/>
        <item x="262"/>
        <item x="415"/>
        <item x="263"/>
        <item x="180"/>
        <item x="342"/>
        <item x="264"/>
        <item x="112"/>
        <item x="51"/>
        <item x="388"/>
        <item x="207"/>
        <item x="427"/>
        <item x="164"/>
        <item x="85"/>
        <item x="295"/>
        <item x="280"/>
        <item x="429"/>
        <item x="11"/>
        <item x="368"/>
        <item x="37"/>
        <item x="360"/>
        <item x="460"/>
        <item x="63"/>
        <item x="115"/>
        <item x="21"/>
        <item x="251"/>
        <item x="364"/>
        <item x="274"/>
        <item x="439"/>
        <item x="67"/>
        <item x="95"/>
        <item x="20"/>
        <item x="155"/>
        <item x="290"/>
        <item x="111"/>
        <item x="145"/>
        <item x="34"/>
        <item x="203"/>
        <item x="148"/>
        <item x="291"/>
        <item x="401"/>
        <item x="227"/>
        <item x="233"/>
        <item x="210"/>
        <item x="453"/>
        <item x="413"/>
        <item x="32"/>
        <item x="410"/>
        <item x="181"/>
        <item x="321"/>
        <item x="132"/>
        <item x="311"/>
        <item x="221"/>
        <item x="444"/>
        <item x="92"/>
        <item x="162"/>
        <item x="29"/>
        <item x="276"/>
        <item x="238"/>
        <item x="448"/>
        <item x="134"/>
        <item x="118"/>
        <item x="140"/>
        <item x="414"/>
        <item x="366"/>
        <item x="391"/>
        <item x="398"/>
        <item x="151"/>
        <item x="49"/>
        <item x="241"/>
        <item x="62"/>
        <item x="82"/>
        <item x="52"/>
        <item x="161"/>
        <item x="103"/>
        <item x="323"/>
        <item x="41"/>
        <item x="208"/>
        <item x="320"/>
        <item x="392"/>
        <item x="335"/>
        <item x="19"/>
        <item x="245"/>
        <item x="372"/>
        <item x="249"/>
        <item x="196"/>
        <item x="16"/>
        <item x="247"/>
        <item x="75"/>
        <item x="206"/>
        <item x="283"/>
        <item x="13"/>
        <item x="277"/>
        <item x="358"/>
        <item x="303"/>
        <item x="2"/>
        <item x="30"/>
        <item x="192"/>
        <item x="258"/>
        <item x="74"/>
        <item x="464"/>
        <item x="25"/>
        <item x="104"/>
        <item x="190"/>
        <item x="406"/>
        <item x="35"/>
        <item x="195"/>
        <item x="301"/>
        <item x="408"/>
        <item x="158"/>
        <item x="123"/>
        <item x="330"/>
        <item x="292"/>
        <item x="211"/>
        <item x="362"/>
        <item x="101"/>
        <item x="84"/>
        <item x="416"/>
        <item x="12"/>
        <item x="48"/>
        <item x="150"/>
        <item x="53"/>
        <item x="397"/>
        <item x="441"/>
        <item x="334"/>
        <item x="442"/>
        <item x="188"/>
        <item x="99"/>
        <item x="316"/>
        <item x="288"/>
        <item x="379"/>
        <item x="232"/>
        <item x="445"/>
        <item x="267"/>
        <item x="434"/>
        <item x="248"/>
        <item x="332"/>
        <item x="40"/>
        <item x="373"/>
        <item x="308"/>
        <item x="327"/>
        <item x="174"/>
        <item x="169"/>
        <item x="217"/>
        <item x="209"/>
        <item x="395"/>
        <item x="79"/>
        <item x="165"/>
        <item x="455"/>
        <item x="437"/>
        <item x="356"/>
        <item x="15"/>
        <item x="361"/>
        <item x="69"/>
        <item x="26"/>
        <item x="83"/>
        <item x="33"/>
        <item x="284"/>
        <item x="282"/>
        <item x="333"/>
        <item x="340"/>
        <item x="383"/>
        <item x="254"/>
        <item x="110"/>
        <item x="419"/>
        <item x="70"/>
        <item x="236"/>
        <item x="454"/>
        <item x="393"/>
        <item x="18"/>
        <item x="189"/>
        <item x="78"/>
        <item x="394"/>
        <item x="108"/>
        <item x="204"/>
        <item x="90"/>
        <item x="89"/>
        <item x="64"/>
        <item x="462"/>
        <item x="200"/>
        <item x="244"/>
        <item x="138"/>
        <item x="202"/>
        <item x="129"/>
        <item x="270"/>
        <item x="166"/>
        <item x="243"/>
        <item x="287"/>
        <item x="130"/>
        <item x="257"/>
        <item x="375"/>
        <item x="218"/>
        <item x="6"/>
        <item x="3"/>
        <item x="430"/>
        <item x="446"/>
        <item x="355"/>
        <item x="278"/>
        <item x="326"/>
        <item x="240"/>
        <item x="125"/>
        <item x="117"/>
        <item x="173"/>
        <item x="14"/>
        <item x="54"/>
        <item x="306"/>
        <item x="66"/>
        <item x="337"/>
        <item x="269"/>
        <item x="154"/>
        <item x="433"/>
        <item x="420"/>
        <item x="194"/>
        <item x="170"/>
        <item x="137"/>
        <item x="24"/>
        <item x="46"/>
        <item x="126"/>
        <item x="436"/>
        <item x="273"/>
        <item x="418"/>
        <item x="191"/>
        <item x="399"/>
        <item x="44"/>
        <item x="328"/>
        <item x="256"/>
        <item x="412"/>
        <item x="116"/>
        <item x="100"/>
        <item x="382"/>
        <item x="322"/>
        <item x="402"/>
        <item x="98"/>
        <item x="365"/>
        <item x="96"/>
        <item x="299"/>
        <item x="225"/>
        <item x="378"/>
        <item x="171"/>
        <item x="457"/>
        <item x="147"/>
        <item x="305"/>
        <item x="224"/>
        <item x="136"/>
        <item x="229"/>
        <item x="213"/>
        <item x="252"/>
        <item x="50"/>
        <item x="124"/>
        <item x="235"/>
        <item x="119"/>
        <item x="376"/>
        <item x="1"/>
        <item x="197"/>
        <item x="88"/>
        <item x="55"/>
        <item x="447"/>
        <item x="424"/>
        <item x="271"/>
        <item x="215"/>
        <item x="396"/>
        <item x="234"/>
        <item x="10"/>
        <item x="61"/>
        <item x="230"/>
        <item x="128"/>
        <item x="371"/>
        <item x="167"/>
        <item x="417"/>
        <item x="133"/>
        <item x="313"/>
        <item x="127"/>
        <item x="60"/>
        <item x="386"/>
        <item x="43"/>
        <item x="260"/>
        <item x="59"/>
        <item x="352"/>
        <item x="265"/>
        <item x="47"/>
        <item x="87"/>
        <item x="72"/>
        <item x="259"/>
        <item x="253"/>
        <item x="363"/>
        <item x="463"/>
        <item x="17"/>
        <item x="432"/>
        <item x="160"/>
        <item x="250"/>
        <item x="141"/>
        <item x="146"/>
        <item x="298"/>
        <item x="359"/>
        <item x="42"/>
        <item x="91"/>
        <item x="367"/>
        <item x="39"/>
        <item x="440"/>
        <item x="205"/>
        <item x="186"/>
        <item x="255"/>
        <item x="309"/>
        <item x="344"/>
        <item x="435"/>
        <item x="443"/>
        <item x="94"/>
        <item x="289"/>
        <item x="465"/>
        <item x="336"/>
        <item x="57"/>
        <item x="449"/>
        <item x="293"/>
        <item x="307"/>
        <item x="343"/>
        <item x="281"/>
        <item x="183"/>
        <item x="387"/>
        <item x="300"/>
        <item x="73"/>
        <item x="36"/>
        <item x="216"/>
        <item x="23"/>
        <item x="390"/>
        <item x="143"/>
        <item x="176"/>
        <item x="0"/>
        <item x="452"/>
        <item x="380"/>
        <item x="7"/>
        <item x="261"/>
        <item x="76"/>
        <item x="349"/>
        <item x="450"/>
        <item x="296"/>
        <item x="231"/>
        <item x="163"/>
        <item x="341"/>
        <item x="339"/>
        <item x="114"/>
        <item x="246"/>
        <item x="228"/>
        <item x="8"/>
        <item x="407"/>
        <item x="275"/>
        <item x="294"/>
        <item x="86"/>
        <item x="184"/>
        <item x="285"/>
        <item x="302"/>
        <item x="405"/>
        <item x="389"/>
        <item x="185"/>
        <item x="212"/>
        <item x="27"/>
        <item x="157"/>
        <item x="346"/>
        <item t="default"/>
      </items>
    </pivotField>
    <pivotField axis="axisRow" showAll="0" measureFilter="1">
      <items count="544">
        <item x="492"/>
        <item x="281"/>
        <item x="195"/>
        <item x="512"/>
        <item x="310"/>
        <item x="253"/>
        <item x="430"/>
        <item x="396"/>
        <item x="488"/>
        <item x="526"/>
        <item x="417"/>
        <item x="93"/>
        <item x="266"/>
        <item x="456"/>
        <item x="63"/>
        <item x="542"/>
        <item x="26"/>
        <item x="156"/>
        <item x="142"/>
        <item x="218"/>
        <item x="224"/>
        <item x="235"/>
        <item x="498"/>
        <item x="448"/>
        <item x="351"/>
        <item x="162"/>
        <item x="472"/>
        <item x="525"/>
        <item x="140"/>
        <item x="137"/>
        <item x="355"/>
        <item x="457"/>
        <item x="399"/>
        <item x="38"/>
        <item x="130"/>
        <item x="478"/>
        <item x="236"/>
        <item x="307"/>
        <item x="97"/>
        <item x="343"/>
        <item x="51"/>
        <item x="147"/>
        <item x="386"/>
        <item x="341"/>
        <item x="217"/>
        <item x="505"/>
        <item x="120"/>
        <item x="403"/>
        <item x="409"/>
        <item x="455"/>
        <item x="82"/>
        <item x="484"/>
        <item x="359"/>
        <item x="427"/>
        <item x="289"/>
        <item x="106"/>
        <item x="481"/>
        <item x="16"/>
        <item x="237"/>
        <item x="340"/>
        <item x="197"/>
        <item x="32"/>
        <item x="496"/>
        <item x="517"/>
        <item x="192"/>
        <item x="223"/>
        <item x="426"/>
        <item x="196"/>
        <item x="173"/>
        <item x="49"/>
        <item x="415"/>
        <item x="267"/>
        <item x="372"/>
        <item x="444"/>
        <item x="50"/>
        <item x="293"/>
        <item x="285"/>
        <item x="159"/>
        <item x="20"/>
        <item x="134"/>
        <item x="302"/>
        <item x="255"/>
        <item x="500"/>
        <item x="222"/>
        <item x="104"/>
        <item x="491"/>
        <item x="259"/>
        <item x="47"/>
        <item x="262"/>
        <item x="383"/>
        <item x="74"/>
        <item x="44"/>
        <item x="513"/>
        <item x="446"/>
        <item x="92"/>
        <item x="67"/>
        <item x="361"/>
        <item x="77"/>
        <item x="317"/>
        <item x="112"/>
        <item x="231"/>
        <item x="344"/>
        <item x="291"/>
        <item x="462"/>
        <item x="17"/>
        <item x="333"/>
        <item x="339"/>
        <item x="252"/>
        <item x="388"/>
        <item x="384"/>
        <item x="356"/>
        <item x="325"/>
        <item x="357"/>
        <item x="128"/>
        <item x="160"/>
        <item x="394"/>
        <item x="29"/>
        <item x="358"/>
        <item x="242"/>
        <item x="179"/>
        <item x="445"/>
        <item x="117"/>
        <item x="292"/>
        <item x="392"/>
        <item x="511"/>
        <item x="365"/>
        <item x="119"/>
        <item x="506"/>
        <item x="168"/>
        <item x="22"/>
        <item x="114"/>
        <item x="86"/>
        <item x="535"/>
        <item x="486"/>
        <item x="280"/>
        <item x="370"/>
        <item x="65"/>
        <item x="490"/>
        <item x="12"/>
        <item x="3"/>
        <item x="201"/>
        <item x="228"/>
        <item x="80"/>
        <item x="216"/>
        <item x="521"/>
        <item x="118"/>
        <item x="523"/>
        <item x="209"/>
        <item x="422"/>
        <item x="94"/>
        <item x="60"/>
        <item x="54"/>
        <item x="528"/>
        <item x="391"/>
        <item x="369"/>
        <item x="305"/>
        <item x="452"/>
        <item x="284"/>
        <item x="170"/>
        <item x="531"/>
        <item x="412"/>
        <item x="299"/>
        <item x="360"/>
        <item x="494"/>
        <item x="78"/>
        <item x="353"/>
        <item x="524"/>
        <item x="245"/>
        <item x="4"/>
        <item x="35"/>
        <item x="400"/>
        <item x="300"/>
        <item x="468"/>
        <item x="466"/>
        <item x="451"/>
        <item x="207"/>
        <item x="123"/>
        <item x="331"/>
        <item x="313"/>
        <item x="1"/>
        <item x="136"/>
        <item x="337"/>
        <item x="71"/>
        <item x="290"/>
        <item x="401"/>
        <item x="303"/>
        <item x="102"/>
        <item x="187"/>
        <item x="461"/>
        <item x="124"/>
        <item x="379"/>
        <item x="350"/>
        <item x="410"/>
        <item x="519"/>
        <item x="354"/>
        <item x="349"/>
        <item x="503"/>
        <item x="516"/>
        <item x="465"/>
        <item x="87"/>
        <item x="11"/>
        <item x="175"/>
        <item x="315"/>
        <item x="219"/>
        <item x="440"/>
        <item x="352"/>
        <item x="111"/>
        <item x="10"/>
        <item x="33"/>
        <item x="95"/>
        <item x="133"/>
        <item x="413"/>
        <item x="367"/>
        <item x="385"/>
        <item x="311"/>
        <item x="243"/>
        <item x="30"/>
        <item x="304"/>
        <item x="194"/>
        <item x="450"/>
        <item x="411"/>
        <item x="485"/>
        <item x="23"/>
        <item x="364"/>
        <item x="429"/>
        <item x="334"/>
        <item x="382"/>
        <item x="323"/>
        <item x="234"/>
        <item x="83"/>
        <item x="254"/>
        <item x="380"/>
        <item x="75"/>
        <item x="15"/>
        <item x="110"/>
        <item x="489"/>
        <item x="148"/>
        <item x="248"/>
        <item x="279"/>
        <item x="499"/>
        <item x="397"/>
        <item x="103"/>
        <item x="150"/>
        <item x="453"/>
        <item x="186"/>
        <item x="520"/>
        <item x="151"/>
        <item x="502"/>
        <item x="139"/>
        <item x="7"/>
        <item x="342"/>
        <item x="389"/>
        <item x="518"/>
        <item x="72"/>
        <item x="442"/>
        <item x="479"/>
        <item x="250"/>
        <item x="174"/>
        <item x="251"/>
        <item x="449"/>
        <item x="324"/>
        <item x="141"/>
        <item x="246"/>
        <item x="328"/>
        <item x="145"/>
        <item x="198"/>
        <item x="31"/>
        <item x="295"/>
        <item x="122"/>
        <item x="438"/>
        <item x="510"/>
        <item x="88"/>
        <item x="314"/>
        <item x="227"/>
        <item x="277"/>
        <item x="36"/>
        <item x="221"/>
        <item x="539"/>
        <item x="180"/>
        <item x="225"/>
        <item x="188"/>
        <item x="406"/>
        <item x="476"/>
        <item x="467"/>
        <item x="69"/>
        <item x="5"/>
        <item x="387"/>
        <item x="501"/>
        <item x="348"/>
        <item x="116"/>
        <item x="482"/>
        <item x="193"/>
        <item x="407"/>
        <item x="265"/>
        <item x="296"/>
        <item x="113"/>
        <item x="540"/>
        <item x="375"/>
        <item x="143"/>
        <item x="96"/>
        <item x="99"/>
        <item x="203"/>
        <item x="515"/>
        <item x="21"/>
        <item x="127"/>
        <item x="164"/>
        <item x="212"/>
        <item x="362"/>
        <item x="45"/>
        <item x="332"/>
        <item x="249"/>
        <item x="135"/>
        <item x="433"/>
        <item x="169"/>
        <item x="471"/>
        <item x="131"/>
        <item x="473"/>
        <item x="181"/>
        <item x="53"/>
        <item x="25"/>
        <item x="298"/>
        <item x="371"/>
        <item x="48"/>
        <item x="514"/>
        <item x="19"/>
        <item x="81"/>
        <item x="178"/>
        <item x="59"/>
        <item x="129"/>
        <item x="336"/>
        <item x="204"/>
        <item x="177"/>
        <item x="312"/>
        <item x="327"/>
        <item x="172"/>
        <item x="421"/>
        <item x="40"/>
        <item x="182"/>
        <item x="18"/>
        <item x="121"/>
        <item x="73"/>
        <item x="470"/>
        <item x="534"/>
        <item x="155"/>
        <item x="274"/>
        <item x="338"/>
        <item x="52"/>
        <item x="347"/>
        <item x="76"/>
        <item x="91"/>
        <item x="424"/>
        <item x="405"/>
        <item x="529"/>
        <item x="238"/>
        <item x="271"/>
        <item x="258"/>
        <item x="152"/>
        <item x="213"/>
        <item x="527"/>
        <item x="318"/>
        <item x="447"/>
        <item x="408"/>
        <item x="9"/>
        <item x="24"/>
        <item x="420"/>
        <item x="483"/>
        <item x="154"/>
        <item x="301"/>
        <item x="268"/>
        <item x="101"/>
        <item x="428"/>
        <item x="108"/>
        <item x="260"/>
        <item x="200"/>
        <item x="493"/>
        <item x="436"/>
        <item x="402"/>
        <item x="163"/>
        <item x="57"/>
        <item x="189"/>
        <item x="432"/>
        <item x="191"/>
        <item x="90"/>
        <item x="43"/>
        <item x="215"/>
        <item x="8"/>
        <item x="390"/>
        <item x="176"/>
        <item x="376"/>
        <item x="2"/>
        <item x="210"/>
        <item x="241"/>
        <item x="138"/>
        <item x="366"/>
        <item x="326"/>
        <item x="297"/>
        <item x="206"/>
        <item x="464"/>
        <item x="414"/>
        <item x="261"/>
        <item x="419"/>
        <item x="321"/>
        <item x="532"/>
        <item x="0"/>
        <item x="416"/>
        <item x="229"/>
        <item x="190"/>
        <item x="477"/>
        <item x="264"/>
        <item x="247"/>
        <item x="214"/>
        <item x="443"/>
        <item x="158"/>
        <item x="55"/>
        <item x="460"/>
        <item x="458"/>
        <item x="320"/>
        <item x="208"/>
        <item x="270"/>
        <item x="536"/>
        <item x="166"/>
        <item x="537"/>
        <item x="377"/>
        <item x="144"/>
        <item x="257"/>
        <item x="435"/>
        <item x="508"/>
        <item x="278"/>
        <item x="132"/>
        <item x="105"/>
        <item x="463"/>
        <item x="226"/>
        <item x="239"/>
        <item x="454"/>
        <item x="439"/>
        <item x="497"/>
        <item x="244"/>
        <item x="66"/>
        <item x="287"/>
        <item x="232"/>
        <item x="437"/>
        <item x="184"/>
        <item x="522"/>
        <item x="381"/>
        <item x="398"/>
        <item x="70"/>
        <item x="480"/>
        <item x="346"/>
        <item x="423"/>
        <item x="28"/>
        <item x="330"/>
        <item x="167"/>
        <item x="14"/>
        <item x="61"/>
        <item x="46"/>
        <item x="273"/>
        <item x="107"/>
        <item x="126"/>
        <item x="374"/>
        <item x="541"/>
        <item x="256"/>
        <item x="199"/>
        <item x="263"/>
        <item x="507"/>
        <item x="269"/>
        <item x="34"/>
        <item x="233"/>
        <item x="306"/>
        <item x="286"/>
        <item x="183"/>
        <item x="395"/>
        <item x="538"/>
        <item x="41"/>
        <item x="64"/>
        <item x="373"/>
        <item x="109"/>
        <item x="230"/>
        <item x="393"/>
        <item x="276"/>
        <item x="84"/>
        <item x="100"/>
        <item x="345"/>
        <item x="504"/>
        <item x="509"/>
        <item x="329"/>
        <item x="434"/>
        <item x="378"/>
        <item x="487"/>
        <item x="79"/>
        <item x="418"/>
        <item x="89"/>
        <item x="425"/>
        <item x="68"/>
        <item x="322"/>
        <item x="288"/>
        <item x="202"/>
        <item x="335"/>
        <item x="309"/>
        <item x="98"/>
        <item x="171"/>
        <item x="275"/>
        <item x="115"/>
        <item x="56"/>
        <item x="475"/>
        <item x="39"/>
        <item x="294"/>
        <item x="211"/>
        <item x="157"/>
        <item x="13"/>
        <item x="85"/>
        <item x="495"/>
        <item x="27"/>
        <item x="240"/>
        <item x="459"/>
        <item x="62"/>
        <item x="368"/>
        <item x="533"/>
        <item x="316"/>
        <item x="431"/>
        <item x="469"/>
        <item x="283"/>
        <item x="6"/>
        <item x="42"/>
        <item x="149"/>
        <item x="272"/>
        <item x="441"/>
        <item x="530"/>
        <item x="125"/>
        <item x="363"/>
        <item x="220"/>
        <item x="282"/>
        <item x="474"/>
        <item x="153"/>
        <item x="161"/>
        <item x="185"/>
        <item x="146"/>
        <item x="319"/>
        <item x="58"/>
        <item x="205"/>
        <item x="165"/>
        <item x="308"/>
        <item x="37"/>
        <item x="404"/>
        <item t="default"/>
      </items>
    </pivotField>
    <pivotField showAll="0"/>
    <pivotField showAll="0"/>
    <pivotField showAll="0"/>
    <pivotField dataField="1" showAll="0"/>
    <pivotField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
  </rowFields>
  <rowItems count="11">
    <i>
      <x v="25"/>
    </i>
    <i>
      <x v="101"/>
    </i>
    <i>
      <x v="138"/>
    </i>
    <i>
      <x v="148"/>
    </i>
    <i>
      <x v="297"/>
    </i>
    <i>
      <x v="298"/>
    </i>
    <i>
      <x v="314"/>
    </i>
    <i>
      <x v="353"/>
    </i>
    <i>
      <x v="404"/>
    </i>
    <i>
      <x v="426"/>
    </i>
    <i t="grand">
      <x/>
    </i>
  </rowItems>
  <colItems count="1">
    <i/>
  </colItems>
  <dataFields count="1">
    <dataField name="Sum of Amount" fld="6"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AA91DC-282F-41C3-BA3A-0D512681EA7F}" name="C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0:H14" firstHeaderRow="1" firstDataRow="1" firstDataCol="1"/>
  <pivotFields count="12">
    <pivotField showAll="0"/>
    <pivotField numFmtId="14" showAll="0">
      <items count="467">
        <item x="4"/>
        <item x="97"/>
        <item x="172"/>
        <item x="242"/>
        <item x="28"/>
        <item x="353"/>
        <item x="279"/>
        <item x="153"/>
        <item x="5"/>
        <item x="38"/>
        <item x="93"/>
        <item x="319"/>
        <item x="423"/>
        <item x="219"/>
        <item x="428"/>
        <item x="354"/>
        <item x="403"/>
        <item x="314"/>
        <item x="152"/>
        <item x="425"/>
        <item x="459"/>
        <item x="312"/>
        <item x="381"/>
        <item x="113"/>
        <item x="357"/>
        <item x="149"/>
        <item x="105"/>
        <item x="338"/>
        <item x="144"/>
        <item x="385"/>
        <item x="377"/>
        <item x="201"/>
        <item x="122"/>
        <item x="348"/>
        <item x="106"/>
        <item x="272"/>
        <item x="182"/>
        <item x="409"/>
        <item x="426"/>
        <item x="109"/>
        <item x="268"/>
        <item x="198"/>
        <item x="220"/>
        <item x="142"/>
        <item x="131"/>
        <item x="317"/>
        <item x="22"/>
        <item x="187"/>
        <item x="9"/>
        <item x="107"/>
        <item x="345"/>
        <item x="404"/>
        <item x="411"/>
        <item x="81"/>
        <item x="65"/>
        <item x="156"/>
        <item x="266"/>
        <item x="297"/>
        <item x="168"/>
        <item x="331"/>
        <item x="77"/>
        <item x="286"/>
        <item x="315"/>
        <item x="175"/>
        <item x="80"/>
        <item x="193"/>
        <item x="374"/>
        <item x="369"/>
        <item x="324"/>
        <item x="226"/>
        <item x="456"/>
        <item x="347"/>
        <item x="71"/>
        <item x="304"/>
        <item x="431"/>
        <item x="237"/>
        <item x="461"/>
        <item x="239"/>
        <item x="102"/>
        <item x="458"/>
        <item x="370"/>
        <item x="223"/>
        <item x="438"/>
        <item x="400"/>
        <item x="214"/>
        <item x="68"/>
        <item x="318"/>
        <item x="310"/>
        <item x="325"/>
        <item x="56"/>
        <item x="421"/>
        <item x="199"/>
        <item x="178"/>
        <item x="179"/>
        <item x="135"/>
        <item x="120"/>
        <item x="451"/>
        <item x="422"/>
        <item x="351"/>
        <item x="350"/>
        <item x="139"/>
        <item x="159"/>
        <item x="222"/>
        <item x="31"/>
        <item x="121"/>
        <item x="45"/>
        <item x="384"/>
        <item x="329"/>
        <item x="177"/>
        <item x="58"/>
        <item x="262"/>
        <item x="415"/>
        <item x="263"/>
        <item x="180"/>
        <item x="342"/>
        <item x="264"/>
        <item x="112"/>
        <item x="51"/>
        <item x="388"/>
        <item x="207"/>
        <item x="427"/>
        <item x="164"/>
        <item x="85"/>
        <item x="295"/>
        <item x="280"/>
        <item x="429"/>
        <item x="11"/>
        <item x="368"/>
        <item x="37"/>
        <item x="360"/>
        <item x="460"/>
        <item x="63"/>
        <item x="115"/>
        <item x="21"/>
        <item x="251"/>
        <item x="364"/>
        <item x="274"/>
        <item x="439"/>
        <item x="67"/>
        <item x="95"/>
        <item x="20"/>
        <item x="155"/>
        <item x="290"/>
        <item x="111"/>
        <item x="145"/>
        <item x="34"/>
        <item x="203"/>
        <item x="148"/>
        <item x="291"/>
        <item x="401"/>
        <item x="227"/>
        <item x="233"/>
        <item x="210"/>
        <item x="453"/>
        <item x="413"/>
        <item x="32"/>
        <item x="410"/>
        <item x="181"/>
        <item x="321"/>
        <item x="132"/>
        <item x="311"/>
        <item x="221"/>
        <item x="444"/>
        <item x="92"/>
        <item x="162"/>
        <item x="29"/>
        <item x="276"/>
        <item x="238"/>
        <item x="448"/>
        <item x="134"/>
        <item x="118"/>
        <item x="140"/>
        <item x="414"/>
        <item x="366"/>
        <item x="391"/>
        <item x="398"/>
        <item x="151"/>
        <item x="49"/>
        <item x="241"/>
        <item x="62"/>
        <item x="82"/>
        <item x="52"/>
        <item x="161"/>
        <item x="103"/>
        <item x="323"/>
        <item x="41"/>
        <item x="208"/>
        <item x="320"/>
        <item x="392"/>
        <item x="335"/>
        <item x="19"/>
        <item x="245"/>
        <item x="372"/>
        <item x="249"/>
        <item x="196"/>
        <item x="16"/>
        <item x="247"/>
        <item x="75"/>
        <item x="206"/>
        <item x="283"/>
        <item x="13"/>
        <item x="277"/>
        <item x="358"/>
        <item x="303"/>
        <item x="2"/>
        <item x="30"/>
        <item x="192"/>
        <item x="258"/>
        <item x="74"/>
        <item x="464"/>
        <item x="25"/>
        <item x="104"/>
        <item x="190"/>
        <item x="406"/>
        <item x="35"/>
        <item x="195"/>
        <item x="301"/>
        <item x="408"/>
        <item x="158"/>
        <item x="123"/>
        <item x="330"/>
        <item x="292"/>
        <item x="211"/>
        <item x="362"/>
        <item x="101"/>
        <item x="84"/>
        <item x="416"/>
        <item x="12"/>
        <item x="48"/>
        <item x="150"/>
        <item x="53"/>
        <item x="397"/>
        <item x="441"/>
        <item x="334"/>
        <item x="442"/>
        <item x="188"/>
        <item x="99"/>
        <item x="316"/>
        <item x="288"/>
        <item x="379"/>
        <item x="232"/>
        <item x="445"/>
        <item x="267"/>
        <item x="434"/>
        <item x="248"/>
        <item x="332"/>
        <item x="40"/>
        <item x="373"/>
        <item x="308"/>
        <item x="327"/>
        <item x="174"/>
        <item x="169"/>
        <item x="217"/>
        <item x="209"/>
        <item x="395"/>
        <item x="79"/>
        <item x="165"/>
        <item x="455"/>
        <item x="437"/>
        <item x="356"/>
        <item x="15"/>
        <item x="361"/>
        <item x="69"/>
        <item x="26"/>
        <item x="83"/>
        <item x="33"/>
        <item x="284"/>
        <item x="282"/>
        <item x="333"/>
        <item x="340"/>
        <item x="383"/>
        <item x="254"/>
        <item x="110"/>
        <item x="419"/>
        <item x="70"/>
        <item x="236"/>
        <item x="454"/>
        <item x="393"/>
        <item x="18"/>
        <item x="189"/>
        <item x="78"/>
        <item x="394"/>
        <item x="108"/>
        <item x="204"/>
        <item x="90"/>
        <item x="89"/>
        <item x="64"/>
        <item x="462"/>
        <item x="200"/>
        <item x="244"/>
        <item x="138"/>
        <item x="202"/>
        <item x="129"/>
        <item x="270"/>
        <item x="166"/>
        <item x="243"/>
        <item x="287"/>
        <item x="130"/>
        <item x="257"/>
        <item x="375"/>
        <item x="218"/>
        <item x="6"/>
        <item x="3"/>
        <item x="430"/>
        <item x="446"/>
        <item x="355"/>
        <item x="278"/>
        <item x="326"/>
        <item x="240"/>
        <item x="125"/>
        <item x="117"/>
        <item x="173"/>
        <item x="14"/>
        <item x="54"/>
        <item x="306"/>
        <item x="66"/>
        <item x="337"/>
        <item x="269"/>
        <item x="154"/>
        <item x="433"/>
        <item x="420"/>
        <item x="194"/>
        <item x="170"/>
        <item x="137"/>
        <item x="24"/>
        <item x="46"/>
        <item x="126"/>
        <item x="436"/>
        <item x="273"/>
        <item x="418"/>
        <item x="191"/>
        <item x="399"/>
        <item x="44"/>
        <item x="328"/>
        <item x="256"/>
        <item x="412"/>
        <item x="116"/>
        <item x="100"/>
        <item x="382"/>
        <item x="322"/>
        <item x="402"/>
        <item x="98"/>
        <item x="365"/>
        <item x="96"/>
        <item x="299"/>
        <item x="225"/>
        <item x="378"/>
        <item x="171"/>
        <item x="457"/>
        <item x="147"/>
        <item x="305"/>
        <item x="224"/>
        <item x="136"/>
        <item x="229"/>
        <item x="213"/>
        <item x="252"/>
        <item x="50"/>
        <item x="124"/>
        <item x="235"/>
        <item x="119"/>
        <item x="376"/>
        <item x="1"/>
        <item x="197"/>
        <item x="88"/>
        <item x="55"/>
        <item x="447"/>
        <item x="424"/>
        <item x="271"/>
        <item x="215"/>
        <item x="396"/>
        <item x="234"/>
        <item x="10"/>
        <item x="61"/>
        <item x="230"/>
        <item x="128"/>
        <item x="371"/>
        <item x="167"/>
        <item x="417"/>
        <item x="133"/>
        <item x="313"/>
        <item x="127"/>
        <item x="60"/>
        <item x="386"/>
        <item x="43"/>
        <item x="260"/>
        <item x="59"/>
        <item x="352"/>
        <item x="265"/>
        <item x="47"/>
        <item x="87"/>
        <item x="72"/>
        <item x="259"/>
        <item x="253"/>
        <item x="363"/>
        <item x="463"/>
        <item x="17"/>
        <item x="432"/>
        <item x="160"/>
        <item x="250"/>
        <item x="141"/>
        <item x="146"/>
        <item x="298"/>
        <item x="359"/>
        <item x="42"/>
        <item x="91"/>
        <item x="367"/>
        <item x="39"/>
        <item x="440"/>
        <item x="205"/>
        <item x="186"/>
        <item x="255"/>
        <item x="309"/>
        <item x="344"/>
        <item x="435"/>
        <item x="443"/>
        <item x="94"/>
        <item x="289"/>
        <item x="465"/>
        <item x="336"/>
        <item x="57"/>
        <item x="449"/>
        <item x="293"/>
        <item x="307"/>
        <item x="343"/>
        <item x="281"/>
        <item x="183"/>
        <item x="387"/>
        <item x="300"/>
        <item x="73"/>
        <item x="36"/>
        <item x="216"/>
        <item x="23"/>
        <item x="390"/>
        <item x="143"/>
        <item x="176"/>
        <item x="0"/>
        <item x="452"/>
        <item x="380"/>
        <item x="7"/>
        <item x="261"/>
        <item x="76"/>
        <item x="349"/>
        <item x="450"/>
        <item x="296"/>
        <item x="231"/>
        <item x="163"/>
        <item x="341"/>
        <item x="339"/>
        <item x="114"/>
        <item x="246"/>
        <item x="228"/>
        <item x="8"/>
        <item x="407"/>
        <item x="275"/>
        <item x="294"/>
        <item x="86"/>
        <item x="184"/>
        <item x="285"/>
        <item x="302"/>
        <item x="405"/>
        <item x="389"/>
        <item x="185"/>
        <item x="212"/>
        <item x="27"/>
        <item x="157"/>
        <item x="346"/>
        <item t="default"/>
      </items>
    </pivotField>
    <pivotField showAll="0"/>
    <pivotField showAll="0"/>
    <pivotField axis="axisRow" showAll="0">
      <items count="4">
        <item x="0"/>
        <item x="2"/>
        <item x="1"/>
        <item t="default"/>
      </items>
    </pivotField>
    <pivotField showAll="0"/>
    <pivotField dataField="1" showAll="0"/>
    <pivotField showAll="0"/>
    <pivotField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i>
    <i>
      <x v="1"/>
    </i>
    <i>
      <x v="2"/>
    </i>
    <i t="grand">
      <x/>
    </i>
  </rowItems>
  <colItems count="1">
    <i/>
  </colItems>
  <dataFields count="1">
    <dataField name="Sum of Amount"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FC7632-7E87-419C-B18D-BBC5A20D062C}" name="PivotTable1" cacheId="1" applyNumberFormats="0" applyBorderFormats="0" applyFontFormats="0" applyPatternFormats="0" applyAlignmentFormats="0" applyWidthHeightFormats="1" dataCaption="Values" tag="f5f98af5-1122-4301-81e0-3aabe5a7e746"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Total Profit" fld="0" baseField="0" baseItem="0"/>
    <dataField fld="1" subtotal="count" baseField="0" baseItem="0"/>
    <dataField name="Sum of Total Sales" fld="2" baseField="0" baseItem="0"/>
    <dataField fld="3" subtotal="count" baseField="0" baseItem="0"/>
    <dataField name="Sum of Quantity" fld="4"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Sales_Dataset">
        <x15:activeTabTopLevelEntity name="[Sale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E9B6BB-688A-4EF6-A598-49100D0161D3}" autoFormatId="16" applyNumberFormats="0" applyBorderFormats="0" applyFontFormats="0" applyPatternFormats="0" applyAlignmentFormats="0" applyWidthHeightFormats="0">
  <queryTableRefresh nextId="10">
    <queryTableFields count="9">
      <queryTableField id="1" name="Order ID" tableColumnId="1"/>
      <queryTableField id="2" name="Order Date" tableColumnId="2"/>
      <queryTableField id="3" name="Customer Name" tableColumnId="3"/>
      <queryTableField id="4" name="City" tableColumnId="4"/>
      <queryTableField id="5" name="Category" tableColumnId="5"/>
      <queryTableField id="6" name="Quantity" tableColumnId="6"/>
      <queryTableField id="7" name="Amount" tableColumnId="7"/>
      <queryTableField id="8" name="Total Sales" tableColumnId="8"/>
      <queryTableField id="9" name="Total 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3FC507D-1E00-4E8C-98D8-10C0210B2B36}" sourceName="Months (Order Date)">
  <pivotTables>
    <pivotTable tabId="3" name="City"/>
    <pivotTable tabId="3" name="Ctegory"/>
    <pivotTable tabId="3" name="Customer"/>
    <pivotTable tabId="3" name="Profit"/>
    <pivotTable tabId="3" name="Months"/>
  </pivotTables>
  <data>
    <tabular pivotCacheId="2113379481">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8153A9C1-AB2D-49C9-9685-3E02A91BB067}" cache="Slicer_Months__Order_Date" caption="Months (Order Date)" columnCount="3" style="SlicerStyleLight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5965C4-F4D6-477A-9771-B0F08B426185}" name="Sales_Dataset" displayName="Sales_Dataset" ref="A1:I549" tableType="queryTable" totalsRowCount="1">
  <autoFilter ref="A1:I548" xr:uid="{5E5965C4-F4D6-477A-9771-B0F08B426185}"/>
  <tableColumns count="9">
    <tableColumn id="1" xr3:uid="{077802A2-5C19-439A-B622-20CDD40AB999}" uniqueName="1" name="Order ID" queryTableFieldId="1" dataDxfId="11" totalsRowDxfId="10"/>
    <tableColumn id="2" xr3:uid="{21E505F8-6BC4-4E3D-B5C3-B8994AFD0CF3}" uniqueName="2" name="Order Date" queryTableFieldId="2" dataDxfId="9" totalsRowDxfId="8"/>
    <tableColumn id="3" xr3:uid="{FC9D1605-EEE8-40AB-A2EA-1AC85EA57F6B}" uniqueName="3" name="Customer Name" queryTableFieldId="3" dataDxfId="7" totalsRowDxfId="6"/>
    <tableColumn id="4" xr3:uid="{F3A08E87-1840-4840-B7AF-4340D3717A44}" uniqueName="4" name="City" queryTableFieldId="4" dataDxfId="5" totalsRowDxfId="4"/>
    <tableColumn id="5" xr3:uid="{B4338E16-35D3-46EB-B45F-5DF132D4AE53}" uniqueName="5" name="Category" queryTableFieldId="5" dataDxfId="3" totalsRowDxfId="2"/>
    <tableColumn id="6" xr3:uid="{24FEB615-5080-461F-8C48-24E903DB8EEC}" uniqueName="6" name="Quantity" totalsRowFunction="sum" queryTableFieldId="6"/>
    <tableColumn id="7" xr3:uid="{8C0E7A60-9D59-4524-AE8F-F38AF4FF72C6}" uniqueName="7" name="Amount" totalsRowFunction="sum" queryTableFieldId="7"/>
    <tableColumn id="8" xr3:uid="{B6DF27E1-8734-403E-B473-0F93A9D8BCF0}" uniqueName="8" name="Total Sales" totalsRowFunction="sum" queryTableFieldId="8" totalsRowDxfId="1"/>
    <tableColumn id="9" xr3:uid="{6AD43BBA-DD27-4D4B-B3C4-2661FF573D51}" uniqueName="9" name="Total Profit" totalsRowFunction="sum" queryTableFieldId="9"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6857D-2680-42C7-A961-01F163A2B953}">
  <dimension ref="A3:N37"/>
  <sheetViews>
    <sheetView workbookViewId="0">
      <selection activeCell="Z17" sqref="Z17"/>
    </sheetView>
  </sheetViews>
  <sheetFormatPr defaultRowHeight="14.4" x14ac:dyDescent="0.3"/>
  <cols>
    <col min="1" max="1" width="12.44140625" bestFit="1" customWidth="1"/>
    <col min="2" max="2" width="13.5546875" bestFit="1" customWidth="1"/>
    <col min="7" max="7" width="12.44140625" bestFit="1" customWidth="1"/>
    <col min="8" max="9" width="13.5546875" bestFit="1" customWidth="1"/>
    <col min="11" max="11" width="13.109375" bestFit="1" customWidth="1"/>
    <col min="12" max="12" width="16.109375" bestFit="1" customWidth="1"/>
    <col min="13" max="13" width="15.88671875" bestFit="1" customWidth="1"/>
    <col min="14" max="15" width="13.5546875" bestFit="1" customWidth="1"/>
  </cols>
  <sheetData>
    <row r="3" spans="1:14" x14ac:dyDescent="0.3">
      <c r="A3" s="2" t="s">
        <v>1120</v>
      </c>
      <c r="B3" t="s">
        <v>1122</v>
      </c>
    </row>
    <row r="4" spans="1:14" x14ac:dyDescent="0.3">
      <c r="A4" s="3" t="s">
        <v>69</v>
      </c>
      <c r="B4" s="4">
        <v>139595</v>
      </c>
    </row>
    <row r="5" spans="1:14" x14ac:dyDescent="0.3">
      <c r="A5" s="3" t="s">
        <v>8</v>
      </c>
      <c r="B5" s="4">
        <v>197760</v>
      </c>
    </row>
    <row r="6" spans="1:14" x14ac:dyDescent="0.3">
      <c r="A6" s="3" t="s">
        <v>22</v>
      </c>
      <c r="B6" s="4">
        <v>191766</v>
      </c>
    </row>
    <row r="7" spans="1:14" x14ac:dyDescent="0.3">
      <c r="A7" s="3" t="s">
        <v>15</v>
      </c>
      <c r="B7" s="4">
        <v>200688</v>
      </c>
    </row>
    <row r="8" spans="1:14" x14ac:dyDescent="0.3">
      <c r="A8" s="3" t="s">
        <v>89</v>
      </c>
      <c r="B8" s="4">
        <v>177729</v>
      </c>
    </row>
    <row r="9" spans="1:14" x14ac:dyDescent="0.3">
      <c r="A9" s="3" t="s">
        <v>32</v>
      </c>
      <c r="B9" s="4">
        <v>217245</v>
      </c>
    </row>
    <row r="10" spans="1:14" x14ac:dyDescent="0.3">
      <c r="A10" s="3" t="s">
        <v>36</v>
      </c>
      <c r="B10" s="4">
        <v>227167</v>
      </c>
      <c r="G10" s="2" t="s">
        <v>1120</v>
      </c>
      <c r="H10" t="s">
        <v>1122</v>
      </c>
    </row>
    <row r="11" spans="1:14" x14ac:dyDescent="0.3">
      <c r="A11" s="3" t="s">
        <v>46</v>
      </c>
      <c r="B11" s="4">
        <v>245834</v>
      </c>
      <c r="G11" s="3" t="s">
        <v>7</v>
      </c>
      <c r="H11">
        <v>680962</v>
      </c>
      <c r="M11" s="2" t="s">
        <v>1120</v>
      </c>
      <c r="N11" t="s">
        <v>1122</v>
      </c>
    </row>
    <row r="12" spans="1:14" x14ac:dyDescent="0.3">
      <c r="A12" s="3" t="s">
        <v>29</v>
      </c>
      <c r="B12" s="4">
        <v>251327</v>
      </c>
      <c r="G12" s="3" t="s">
        <v>19</v>
      </c>
      <c r="H12">
        <v>996472</v>
      </c>
      <c r="M12" s="3" t="s">
        <v>353</v>
      </c>
      <c r="N12">
        <v>10943</v>
      </c>
    </row>
    <row r="13" spans="1:14" x14ac:dyDescent="0.3">
      <c r="A13" s="3" t="s">
        <v>77</v>
      </c>
      <c r="B13" s="4">
        <v>203448</v>
      </c>
      <c r="G13" s="3" t="s">
        <v>13</v>
      </c>
      <c r="H13">
        <v>1318838</v>
      </c>
      <c r="M13" s="3" t="s">
        <v>719</v>
      </c>
      <c r="N13">
        <v>12264</v>
      </c>
    </row>
    <row r="14" spans="1:14" x14ac:dyDescent="0.3">
      <c r="A14" s="3" t="s">
        <v>1121</v>
      </c>
      <c r="B14" s="4">
        <v>2052559</v>
      </c>
      <c r="G14" s="3" t="s">
        <v>1121</v>
      </c>
      <c r="H14">
        <v>2996272</v>
      </c>
      <c r="M14" s="3" t="s">
        <v>45</v>
      </c>
      <c r="N14">
        <v>10809</v>
      </c>
    </row>
    <row r="15" spans="1:14" x14ac:dyDescent="0.3">
      <c r="M15" s="3" t="s">
        <v>875</v>
      </c>
      <c r="N15">
        <v>10853</v>
      </c>
    </row>
    <row r="16" spans="1:14" x14ac:dyDescent="0.3">
      <c r="M16" s="3" t="s">
        <v>781</v>
      </c>
      <c r="N16">
        <v>11100</v>
      </c>
    </row>
    <row r="17" spans="7:14" x14ac:dyDescent="0.3">
      <c r="M17" s="3" t="s">
        <v>315</v>
      </c>
      <c r="N17">
        <v>13125</v>
      </c>
    </row>
    <row r="18" spans="7:14" x14ac:dyDescent="0.3">
      <c r="M18" s="3" t="s">
        <v>973</v>
      </c>
      <c r="N18">
        <v>10848</v>
      </c>
    </row>
    <row r="19" spans="7:14" x14ac:dyDescent="0.3">
      <c r="M19" s="3" t="s">
        <v>506</v>
      </c>
      <c r="N19">
        <v>10866</v>
      </c>
    </row>
    <row r="20" spans="7:14" x14ac:dyDescent="0.3">
      <c r="M20" s="3" t="s">
        <v>863</v>
      </c>
      <c r="N20">
        <v>14055</v>
      </c>
    </row>
    <row r="21" spans="7:14" x14ac:dyDescent="0.3">
      <c r="M21" s="3" t="s">
        <v>1047</v>
      </c>
      <c r="N21">
        <v>11055</v>
      </c>
    </row>
    <row r="22" spans="7:14" x14ac:dyDescent="0.3">
      <c r="M22" s="3" t="s">
        <v>1121</v>
      </c>
      <c r="N22">
        <v>115918</v>
      </c>
    </row>
    <row r="24" spans="7:14" x14ac:dyDescent="0.3">
      <c r="G24" s="2" t="s">
        <v>1120</v>
      </c>
      <c r="H24" t="s">
        <v>1122</v>
      </c>
    </row>
    <row r="25" spans="7:14" x14ac:dyDescent="0.3">
      <c r="G25" s="3" t="s">
        <v>1123</v>
      </c>
      <c r="H25">
        <v>226874</v>
      </c>
    </row>
    <row r="26" spans="7:14" x14ac:dyDescent="0.3">
      <c r="G26" s="3" t="s">
        <v>1124</v>
      </c>
      <c r="H26">
        <v>224017</v>
      </c>
    </row>
    <row r="27" spans="7:14" x14ac:dyDescent="0.3">
      <c r="G27" s="3" t="s">
        <v>1125</v>
      </c>
      <c r="H27">
        <v>236332</v>
      </c>
    </row>
    <row r="28" spans="7:14" x14ac:dyDescent="0.3">
      <c r="G28" s="3" t="s">
        <v>1126</v>
      </c>
      <c r="H28">
        <v>246465</v>
      </c>
    </row>
    <row r="29" spans="7:14" x14ac:dyDescent="0.3">
      <c r="G29" s="3" t="s">
        <v>1127</v>
      </c>
      <c r="H29">
        <v>275745</v>
      </c>
    </row>
    <row r="30" spans="7:14" x14ac:dyDescent="0.3">
      <c r="G30" s="3" t="s">
        <v>1128</v>
      </c>
      <c r="H30">
        <v>215648</v>
      </c>
      <c r="K30" s="2" t="s">
        <v>1120</v>
      </c>
      <c r="L30" t="s">
        <v>1135</v>
      </c>
    </row>
    <row r="31" spans="7:14" x14ac:dyDescent="0.3">
      <c r="G31" s="3" t="s">
        <v>1129</v>
      </c>
      <c r="H31">
        <v>251254</v>
      </c>
      <c r="K31" s="3" t="s">
        <v>7</v>
      </c>
      <c r="L31">
        <v>288371</v>
      </c>
    </row>
    <row r="32" spans="7:14" x14ac:dyDescent="0.3">
      <c r="G32" s="3" t="s">
        <v>1130</v>
      </c>
      <c r="H32">
        <v>311807</v>
      </c>
      <c r="K32" s="3" t="s">
        <v>19</v>
      </c>
      <c r="L32">
        <v>548367</v>
      </c>
    </row>
    <row r="33" spans="7:12" x14ac:dyDescent="0.3">
      <c r="G33" s="3" t="s">
        <v>1131</v>
      </c>
      <c r="H33">
        <v>210127</v>
      </c>
      <c r="K33" s="3" t="s">
        <v>13</v>
      </c>
      <c r="L33">
        <v>773959</v>
      </c>
    </row>
    <row r="34" spans="7:12" x14ac:dyDescent="0.3">
      <c r="G34" s="3" t="s">
        <v>1132</v>
      </c>
      <c r="H34">
        <v>310340</v>
      </c>
      <c r="K34" s="3" t="s">
        <v>1121</v>
      </c>
      <c r="L34">
        <v>1610697</v>
      </c>
    </row>
    <row r="35" spans="7:12" x14ac:dyDescent="0.3">
      <c r="G35" s="3" t="s">
        <v>1133</v>
      </c>
      <c r="H35">
        <v>193698</v>
      </c>
    </row>
    <row r="36" spans="7:12" x14ac:dyDescent="0.3">
      <c r="G36" s="3" t="s">
        <v>1134</v>
      </c>
      <c r="H36">
        <v>293965</v>
      </c>
    </row>
    <row r="37" spans="7:12" x14ac:dyDescent="0.3">
      <c r="G37" s="3" t="s">
        <v>1121</v>
      </c>
      <c r="H37">
        <v>2996272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8C201-30F4-49AD-A56E-C6ACDAC60E1C}">
  <dimension ref="A3:E4"/>
  <sheetViews>
    <sheetView workbookViewId="0">
      <selection activeCell="E3" sqref="E3:E4"/>
    </sheetView>
  </sheetViews>
  <sheetFormatPr defaultRowHeight="14.4" x14ac:dyDescent="0.3"/>
  <cols>
    <col min="1" max="1" width="16.109375" bestFit="1" customWidth="1"/>
    <col min="2" max="2" width="14.109375" bestFit="1" customWidth="1"/>
    <col min="3" max="3" width="16.109375" bestFit="1" customWidth="1"/>
    <col min="4" max="4" width="11.109375" bestFit="1" customWidth="1"/>
    <col min="5" max="5" width="14.21875" bestFit="1" customWidth="1"/>
  </cols>
  <sheetData>
    <row r="3" spans="1:5" x14ac:dyDescent="0.3">
      <c r="A3" t="s">
        <v>1135</v>
      </c>
      <c r="B3" t="s">
        <v>1136</v>
      </c>
      <c r="C3" t="s">
        <v>1137</v>
      </c>
      <c r="D3" t="s">
        <v>1138</v>
      </c>
      <c r="E3" t="s">
        <v>1139</v>
      </c>
    </row>
    <row r="4" spans="1:5" x14ac:dyDescent="0.3">
      <c r="A4">
        <v>1610697</v>
      </c>
      <c r="B4">
        <v>543</v>
      </c>
      <c r="C4">
        <v>68468254</v>
      </c>
      <c r="D4">
        <v>547</v>
      </c>
      <c r="E4">
        <v>12745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72D08-44B7-4655-AF16-A8C07F4F0B52}">
  <dimension ref="A1:O1048576"/>
  <sheetViews>
    <sheetView topLeftCell="A2" workbookViewId="0">
      <selection activeCell="D11" sqref="D11"/>
    </sheetView>
  </sheetViews>
  <sheetFormatPr defaultRowHeight="14.4" x14ac:dyDescent="0.3"/>
  <cols>
    <col min="1" max="1" width="10.109375" bestFit="1" customWidth="1"/>
    <col min="2" max="2" width="12.21875" bestFit="1" customWidth="1"/>
    <col min="3" max="3" width="19.6640625" bestFit="1" customWidth="1"/>
    <col min="4" max="4" width="12.33203125" bestFit="1" customWidth="1"/>
    <col min="5" max="5" width="13.109375" bestFit="1" customWidth="1"/>
    <col min="6" max="6" width="10.33203125" bestFit="1" customWidth="1"/>
    <col min="7" max="7" width="9.6640625" bestFit="1" customWidth="1"/>
    <col min="8" max="9" width="12.21875" bestFit="1" customWidth="1"/>
  </cols>
  <sheetData>
    <row r="1" spans="1:13" x14ac:dyDescent="0.3">
      <c r="A1" t="s">
        <v>0</v>
      </c>
      <c r="B1" t="s">
        <v>4</v>
      </c>
      <c r="C1" t="s">
        <v>1117</v>
      </c>
      <c r="D1" t="s">
        <v>5</v>
      </c>
      <c r="E1" t="s">
        <v>3</v>
      </c>
      <c r="F1" t="s">
        <v>2</v>
      </c>
      <c r="G1" t="s">
        <v>1</v>
      </c>
      <c r="H1" t="s">
        <v>1118</v>
      </c>
      <c r="I1" t="s">
        <v>1119</v>
      </c>
    </row>
    <row r="2" spans="1:13" x14ac:dyDescent="0.3">
      <c r="A2" t="s">
        <v>6</v>
      </c>
      <c r="B2" s="1">
        <v>45653</v>
      </c>
      <c r="C2" t="s">
        <v>10</v>
      </c>
      <c r="D2" t="s">
        <v>8</v>
      </c>
      <c r="E2" t="s">
        <v>7</v>
      </c>
      <c r="F2">
        <v>57</v>
      </c>
      <c r="G2">
        <v>6362</v>
      </c>
      <c r="H2">
        <v>362655</v>
      </c>
      <c r="I2">
        <v>7815</v>
      </c>
    </row>
    <row r="3" spans="1:13" x14ac:dyDescent="0.3">
      <c r="A3" t="s">
        <v>12</v>
      </c>
      <c r="B3" s="1">
        <v>45423</v>
      </c>
      <c r="C3" t="s">
        <v>14</v>
      </c>
      <c r="D3" t="s">
        <v>15</v>
      </c>
      <c r="E3" t="s">
        <v>13</v>
      </c>
      <c r="F3">
        <v>24</v>
      </c>
      <c r="G3">
        <v>1540</v>
      </c>
      <c r="H3">
        <v>36970</v>
      </c>
      <c r="I3">
        <v>370</v>
      </c>
    </row>
    <row r="4" spans="1:13" x14ac:dyDescent="0.3">
      <c r="A4" t="s">
        <v>16</v>
      </c>
      <c r="B4" s="1">
        <v>44883</v>
      </c>
      <c r="C4" t="s">
        <v>17</v>
      </c>
      <c r="D4" t="s">
        <v>18</v>
      </c>
      <c r="E4" t="s">
        <v>19</v>
      </c>
      <c r="F4">
        <v>26</v>
      </c>
      <c r="G4">
        <v>5482</v>
      </c>
      <c r="H4">
        <v>142530</v>
      </c>
      <c r="I4">
        <v>3668</v>
      </c>
    </row>
    <row r="5" spans="1:13" x14ac:dyDescent="0.3">
      <c r="A5" t="s">
        <v>20</v>
      </c>
      <c r="B5" s="1">
        <v>45242</v>
      </c>
      <c r="C5" t="s">
        <v>21</v>
      </c>
      <c r="D5" t="s">
        <v>22</v>
      </c>
      <c r="E5" t="s">
        <v>19</v>
      </c>
      <c r="F5">
        <v>19</v>
      </c>
      <c r="G5">
        <v>2555</v>
      </c>
      <c r="H5">
        <v>48538</v>
      </c>
      <c r="I5">
        <v>734</v>
      </c>
    </row>
    <row r="6" spans="1:13" x14ac:dyDescent="0.3">
      <c r="A6" t="s">
        <v>23</v>
      </c>
      <c r="B6" s="1">
        <v>43913</v>
      </c>
      <c r="C6" t="s">
        <v>24</v>
      </c>
      <c r="D6" t="s">
        <v>22</v>
      </c>
      <c r="E6" t="s">
        <v>13</v>
      </c>
      <c r="F6">
        <v>14</v>
      </c>
      <c r="G6">
        <v>3008</v>
      </c>
      <c r="H6">
        <v>42112</v>
      </c>
      <c r="I6">
        <v>462</v>
      </c>
    </row>
    <row r="7" spans="1:13" x14ac:dyDescent="0.3">
      <c r="A7" t="s">
        <v>25</v>
      </c>
      <c r="B7" s="1">
        <v>43955</v>
      </c>
      <c r="C7" t="s">
        <v>26</v>
      </c>
      <c r="D7" t="s">
        <v>15</v>
      </c>
      <c r="E7" t="s">
        <v>13</v>
      </c>
      <c r="F7">
        <v>25</v>
      </c>
      <c r="G7">
        <v>5375</v>
      </c>
      <c r="H7">
        <v>134384</v>
      </c>
      <c r="I7">
        <v>3936</v>
      </c>
    </row>
    <row r="8" spans="1:13" x14ac:dyDescent="0.3">
      <c r="A8" t="s">
        <v>27</v>
      </c>
      <c r="B8" s="1">
        <v>45239</v>
      </c>
      <c r="C8" t="s">
        <v>28</v>
      </c>
      <c r="D8" t="s">
        <v>29</v>
      </c>
      <c r="E8" t="s">
        <v>13</v>
      </c>
      <c r="F8">
        <v>28</v>
      </c>
      <c r="G8">
        <v>7585</v>
      </c>
      <c r="H8">
        <v>212378</v>
      </c>
      <c r="I8">
        <v>1360</v>
      </c>
    </row>
    <row r="9" spans="1:13" x14ac:dyDescent="0.3">
      <c r="A9" t="s">
        <v>30</v>
      </c>
      <c r="B9" s="1">
        <v>45656</v>
      </c>
      <c r="C9" t="s">
        <v>31</v>
      </c>
      <c r="D9" t="s">
        <v>32</v>
      </c>
      <c r="E9" t="s">
        <v>13</v>
      </c>
      <c r="F9">
        <v>8</v>
      </c>
      <c r="G9">
        <v>2696</v>
      </c>
      <c r="H9">
        <v>21570</v>
      </c>
      <c r="I9">
        <v>2818</v>
      </c>
    </row>
    <row r="10" spans="1:13" x14ac:dyDescent="0.3">
      <c r="A10" t="s">
        <v>33</v>
      </c>
      <c r="B10" s="1">
        <v>45699</v>
      </c>
      <c r="C10" t="s">
        <v>35</v>
      </c>
      <c r="D10" t="s">
        <v>36</v>
      </c>
      <c r="E10" t="s">
        <v>13</v>
      </c>
      <c r="F10">
        <v>2</v>
      </c>
      <c r="G10">
        <v>1894</v>
      </c>
      <c r="H10">
        <v>3788</v>
      </c>
      <c r="I10">
        <v>530</v>
      </c>
    </row>
    <row r="11" spans="1:13" ht="15" thickBot="1" x14ac:dyDescent="0.35">
      <c r="A11" t="s">
        <v>37</v>
      </c>
      <c r="B11" s="1">
        <v>44163</v>
      </c>
      <c r="C11" t="s">
        <v>38</v>
      </c>
      <c r="D11" t="s">
        <v>36</v>
      </c>
      <c r="E11" t="s">
        <v>13</v>
      </c>
      <c r="F11">
        <v>39</v>
      </c>
      <c r="G11">
        <v>5977</v>
      </c>
      <c r="H11">
        <v>233094</v>
      </c>
      <c r="I11">
        <v>3865</v>
      </c>
    </row>
    <row r="12" spans="1:13" ht="15" thickTop="1" x14ac:dyDescent="0.3">
      <c r="A12" t="s">
        <v>39</v>
      </c>
      <c r="B12" s="1">
        <v>45442</v>
      </c>
      <c r="C12" t="s">
        <v>40</v>
      </c>
      <c r="D12" t="s">
        <v>32</v>
      </c>
      <c r="E12" t="s">
        <v>13</v>
      </c>
      <c r="F12">
        <v>46</v>
      </c>
      <c r="G12">
        <v>7146</v>
      </c>
      <c r="H12">
        <v>328714</v>
      </c>
      <c r="I12">
        <v>2130</v>
      </c>
      <c r="M12" s="5">
        <f>SUBTOTAL(109,Sales_Dataset[Quantity])</f>
        <v>12745</v>
      </c>
    </row>
    <row r="13" spans="1:13" x14ac:dyDescent="0.3">
      <c r="A13" t="s">
        <v>41</v>
      </c>
      <c r="B13" s="1">
        <v>44584</v>
      </c>
      <c r="C13" t="s">
        <v>42</v>
      </c>
      <c r="D13" t="s">
        <v>43</v>
      </c>
      <c r="E13" t="s">
        <v>7</v>
      </c>
      <c r="F13">
        <v>17</v>
      </c>
      <c r="G13">
        <v>4313</v>
      </c>
      <c r="H13">
        <v>73323</v>
      </c>
      <c r="I13">
        <v>1821</v>
      </c>
    </row>
    <row r="14" spans="1:13" x14ac:dyDescent="0.3">
      <c r="A14" t="s">
        <v>44</v>
      </c>
      <c r="B14" s="1">
        <v>44960</v>
      </c>
      <c r="C14" t="s">
        <v>45</v>
      </c>
      <c r="D14" t="s">
        <v>46</v>
      </c>
      <c r="E14" t="s">
        <v>13</v>
      </c>
      <c r="F14">
        <v>40</v>
      </c>
      <c r="G14">
        <v>5278</v>
      </c>
      <c r="H14">
        <v>211120</v>
      </c>
      <c r="I14">
        <v>2360</v>
      </c>
    </row>
    <row r="15" spans="1:13" x14ac:dyDescent="0.3">
      <c r="A15" t="s">
        <v>47</v>
      </c>
      <c r="B15" s="1">
        <v>44864</v>
      </c>
      <c r="C15" t="s">
        <v>48</v>
      </c>
      <c r="D15" t="s">
        <v>46</v>
      </c>
      <c r="E15" t="s">
        <v>13</v>
      </c>
      <c r="F15">
        <v>40</v>
      </c>
      <c r="G15">
        <v>3724</v>
      </c>
      <c r="H15">
        <v>148960</v>
      </c>
      <c r="I15">
        <v>1520</v>
      </c>
    </row>
    <row r="16" spans="1:13" ht="15" thickBot="1" x14ac:dyDescent="0.35">
      <c r="A16" t="s">
        <v>50</v>
      </c>
      <c r="B16" s="1">
        <v>45274</v>
      </c>
      <c r="C16" t="s">
        <v>51</v>
      </c>
      <c r="D16" t="s">
        <v>15</v>
      </c>
      <c r="E16" t="s">
        <v>13</v>
      </c>
      <c r="F16">
        <v>15</v>
      </c>
      <c r="G16">
        <v>8603</v>
      </c>
      <c r="H16">
        <v>129047</v>
      </c>
      <c r="I16">
        <v>2160</v>
      </c>
    </row>
    <row r="17" spans="1:15" ht="15" thickTop="1" x14ac:dyDescent="0.3">
      <c r="A17" t="s">
        <v>52</v>
      </c>
      <c r="B17" s="1">
        <v>45110</v>
      </c>
      <c r="C17" t="s">
        <v>53</v>
      </c>
      <c r="D17" t="s">
        <v>36</v>
      </c>
      <c r="E17" t="s">
        <v>19</v>
      </c>
      <c r="F17">
        <v>46</v>
      </c>
      <c r="G17">
        <v>4628</v>
      </c>
      <c r="H17">
        <v>212894</v>
      </c>
      <c r="I17">
        <v>5428</v>
      </c>
      <c r="M17" s="5">
        <f>SUBTOTAL(109,Sales_Dataset[Amount])</f>
        <v>2996272</v>
      </c>
      <c r="O17" s="6"/>
    </row>
    <row r="18" spans="1:15" x14ac:dyDescent="0.3">
      <c r="A18" t="s">
        <v>55</v>
      </c>
      <c r="B18" s="1">
        <v>44841</v>
      </c>
      <c r="C18" t="s">
        <v>56</v>
      </c>
      <c r="D18" t="s">
        <v>15</v>
      </c>
      <c r="E18" t="s">
        <v>19</v>
      </c>
      <c r="F18">
        <v>16</v>
      </c>
      <c r="G18">
        <v>4006</v>
      </c>
      <c r="H18">
        <v>64095</v>
      </c>
      <c r="I18">
        <v>1593</v>
      </c>
    </row>
    <row r="19" spans="1:15" x14ac:dyDescent="0.3">
      <c r="A19" t="s">
        <v>57</v>
      </c>
      <c r="B19" s="1">
        <v>45510</v>
      </c>
      <c r="C19" t="s">
        <v>58</v>
      </c>
      <c r="D19" t="s">
        <v>46</v>
      </c>
      <c r="E19" t="s">
        <v>13</v>
      </c>
      <c r="F19">
        <v>27</v>
      </c>
      <c r="G19">
        <v>6618</v>
      </c>
      <c r="H19">
        <v>178691</v>
      </c>
      <c r="I19">
        <v>7046</v>
      </c>
    </row>
    <row r="20" spans="1:15" ht="15" thickBot="1" x14ac:dyDescent="0.35">
      <c r="A20" t="s">
        <v>59</v>
      </c>
      <c r="B20" s="1">
        <v>45159</v>
      </c>
      <c r="C20" t="s">
        <v>61</v>
      </c>
      <c r="D20" t="s">
        <v>32</v>
      </c>
      <c r="E20" t="s">
        <v>13</v>
      </c>
      <c r="F20">
        <v>75</v>
      </c>
      <c r="G20">
        <v>4714</v>
      </c>
      <c r="H20">
        <v>353556</v>
      </c>
      <c r="I20">
        <v>8511</v>
      </c>
    </row>
    <row r="21" spans="1:15" ht="15" thickTop="1" x14ac:dyDescent="0.3">
      <c r="A21" t="s">
        <v>62</v>
      </c>
      <c r="B21" s="1">
        <v>45653</v>
      </c>
      <c r="C21" t="s">
        <v>63</v>
      </c>
      <c r="D21" t="s">
        <v>36</v>
      </c>
      <c r="E21" t="s">
        <v>19</v>
      </c>
      <c r="F21">
        <v>44</v>
      </c>
      <c r="G21">
        <v>6231</v>
      </c>
      <c r="H21">
        <v>274168</v>
      </c>
      <c r="I21">
        <v>6348</v>
      </c>
      <c r="O21" s="6"/>
    </row>
    <row r="22" spans="1:15" x14ac:dyDescent="0.3">
      <c r="A22" t="s">
        <v>64</v>
      </c>
      <c r="B22" s="1">
        <v>44823</v>
      </c>
      <c r="C22" t="s">
        <v>65</v>
      </c>
      <c r="D22" t="s">
        <v>54</v>
      </c>
      <c r="E22" t="s">
        <v>19</v>
      </c>
      <c r="F22">
        <v>18</v>
      </c>
      <c r="G22">
        <v>2499</v>
      </c>
      <c r="H22">
        <v>44982</v>
      </c>
      <c r="I22">
        <v>648</v>
      </c>
    </row>
    <row r="23" spans="1:15" x14ac:dyDescent="0.3">
      <c r="A23" t="s">
        <v>66</v>
      </c>
      <c r="B23" s="1">
        <v>44645</v>
      </c>
      <c r="C23" t="s">
        <v>67</v>
      </c>
      <c r="D23" t="s">
        <v>8</v>
      </c>
      <c r="E23" t="s">
        <v>19</v>
      </c>
      <c r="F23">
        <v>12</v>
      </c>
      <c r="G23">
        <v>7939</v>
      </c>
      <c r="H23">
        <v>95270</v>
      </c>
      <c r="I23">
        <v>1538</v>
      </c>
    </row>
    <row r="24" spans="1:15" x14ac:dyDescent="0.3">
      <c r="A24" t="s">
        <v>68</v>
      </c>
      <c r="B24" s="1">
        <v>44618</v>
      </c>
      <c r="C24" t="s">
        <v>45</v>
      </c>
      <c r="D24" t="s">
        <v>15</v>
      </c>
      <c r="E24" t="s">
        <v>19</v>
      </c>
      <c r="F24">
        <v>64</v>
      </c>
      <c r="G24">
        <v>5531</v>
      </c>
      <c r="H24">
        <v>353988</v>
      </c>
      <c r="I24">
        <v>10710</v>
      </c>
    </row>
    <row r="25" spans="1:15" x14ac:dyDescent="0.3">
      <c r="A25" t="s">
        <v>70</v>
      </c>
      <c r="B25" s="1">
        <v>44151</v>
      </c>
      <c r="C25" t="s">
        <v>71</v>
      </c>
      <c r="D25" t="s">
        <v>11</v>
      </c>
      <c r="E25" t="s">
        <v>19</v>
      </c>
      <c r="F25">
        <v>37</v>
      </c>
      <c r="G25">
        <v>2895</v>
      </c>
      <c r="H25">
        <v>107105</v>
      </c>
      <c r="I25">
        <v>2382</v>
      </c>
    </row>
    <row r="26" spans="1:15" x14ac:dyDescent="0.3">
      <c r="A26" t="s">
        <v>72</v>
      </c>
      <c r="B26" s="1">
        <v>45638</v>
      </c>
      <c r="C26" t="s">
        <v>73</v>
      </c>
      <c r="D26" t="s">
        <v>18</v>
      </c>
      <c r="E26" t="s">
        <v>13</v>
      </c>
      <c r="F26">
        <v>36</v>
      </c>
      <c r="G26">
        <v>2626</v>
      </c>
      <c r="H26">
        <v>94532</v>
      </c>
      <c r="I26">
        <v>3472</v>
      </c>
    </row>
    <row r="27" spans="1:15" x14ac:dyDescent="0.3">
      <c r="A27" t="s">
        <v>74</v>
      </c>
      <c r="B27" s="1">
        <v>45319</v>
      </c>
      <c r="C27" t="s">
        <v>75</v>
      </c>
      <c r="D27" t="s">
        <v>8</v>
      </c>
      <c r="E27" t="s">
        <v>13</v>
      </c>
      <c r="F27">
        <v>17</v>
      </c>
      <c r="G27">
        <v>6560</v>
      </c>
      <c r="H27">
        <v>111520</v>
      </c>
      <c r="I27">
        <v>695</v>
      </c>
    </row>
    <row r="28" spans="1:15" x14ac:dyDescent="0.3">
      <c r="A28" t="s">
        <v>76</v>
      </c>
      <c r="B28" s="1">
        <v>44911</v>
      </c>
      <c r="C28" t="s">
        <v>78</v>
      </c>
      <c r="D28" t="s">
        <v>77</v>
      </c>
      <c r="E28" t="s">
        <v>19</v>
      </c>
      <c r="F28">
        <v>2</v>
      </c>
      <c r="G28">
        <v>1181</v>
      </c>
      <c r="H28">
        <v>2362</v>
      </c>
      <c r="I28">
        <v>110</v>
      </c>
    </row>
    <row r="29" spans="1:15" x14ac:dyDescent="0.3">
      <c r="A29" t="s">
        <v>79</v>
      </c>
      <c r="B29" s="1">
        <v>45120</v>
      </c>
      <c r="C29" t="s">
        <v>80</v>
      </c>
      <c r="D29" t="s">
        <v>36</v>
      </c>
      <c r="E29" t="s">
        <v>13</v>
      </c>
      <c r="F29">
        <v>37</v>
      </c>
      <c r="G29">
        <v>5512</v>
      </c>
      <c r="H29">
        <v>203931</v>
      </c>
      <c r="I29">
        <v>6345</v>
      </c>
    </row>
    <row r="30" spans="1:15" x14ac:dyDescent="0.3">
      <c r="A30" t="s">
        <v>81</v>
      </c>
      <c r="B30" s="1">
        <v>45726</v>
      </c>
      <c r="C30" t="s">
        <v>82</v>
      </c>
      <c r="D30" t="s">
        <v>60</v>
      </c>
      <c r="E30" t="s">
        <v>13</v>
      </c>
      <c r="F30">
        <v>60</v>
      </c>
      <c r="G30">
        <v>6624</v>
      </c>
      <c r="H30">
        <v>397468</v>
      </c>
      <c r="I30">
        <v>8686</v>
      </c>
    </row>
    <row r="31" spans="1:15" x14ac:dyDescent="0.3">
      <c r="A31" t="s">
        <v>83</v>
      </c>
      <c r="B31" s="1">
        <v>43934</v>
      </c>
      <c r="C31" t="s">
        <v>84</v>
      </c>
      <c r="D31" t="s">
        <v>22</v>
      </c>
      <c r="E31" t="s">
        <v>13</v>
      </c>
      <c r="F31">
        <v>20</v>
      </c>
      <c r="G31">
        <v>2927</v>
      </c>
      <c r="H31">
        <v>58537</v>
      </c>
      <c r="I31">
        <v>1897</v>
      </c>
    </row>
    <row r="32" spans="1:15" x14ac:dyDescent="0.3">
      <c r="A32" t="s">
        <v>85</v>
      </c>
      <c r="B32" s="1">
        <v>44739</v>
      </c>
      <c r="C32" t="s">
        <v>86</v>
      </c>
      <c r="D32" t="s">
        <v>77</v>
      </c>
      <c r="E32" t="s">
        <v>7</v>
      </c>
      <c r="F32">
        <v>15</v>
      </c>
      <c r="G32">
        <v>1736</v>
      </c>
      <c r="H32">
        <v>26046</v>
      </c>
      <c r="I32">
        <v>2181</v>
      </c>
    </row>
    <row r="33" spans="1:9" x14ac:dyDescent="0.3">
      <c r="A33" t="s">
        <v>87</v>
      </c>
      <c r="B33" s="1">
        <v>44885</v>
      </c>
      <c r="C33" t="s">
        <v>88</v>
      </c>
      <c r="D33" t="s">
        <v>89</v>
      </c>
      <c r="E33" t="s">
        <v>19</v>
      </c>
      <c r="F33">
        <v>20</v>
      </c>
      <c r="G33">
        <v>1819</v>
      </c>
      <c r="H33">
        <v>36384</v>
      </c>
      <c r="I33">
        <v>1244</v>
      </c>
    </row>
    <row r="34" spans="1:9" x14ac:dyDescent="0.3">
      <c r="A34" t="s">
        <v>90</v>
      </c>
      <c r="B34" s="1">
        <v>44512</v>
      </c>
      <c r="C34" t="s">
        <v>91</v>
      </c>
      <c r="D34" t="s">
        <v>15</v>
      </c>
      <c r="E34" t="s">
        <v>19</v>
      </c>
      <c r="F34">
        <v>20</v>
      </c>
      <c r="G34">
        <v>6517</v>
      </c>
      <c r="H34">
        <v>130343</v>
      </c>
      <c r="I34">
        <v>718</v>
      </c>
    </row>
    <row r="35" spans="1:9" x14ac:dyDescent="0.3">
      <c r="A35" t="s">
        <v>92</v>
      </c>
      <c r="B35" s="1">
        <v>44697</v>
      </c>
      <c r="C35" t="s">
        <v>93</v>
      </c>
      <c r="D35" t="s">
        <v>8</v>
      </c>
      <c r="E35" t="s">
        <v>19</v>
      </c>
      <c r="F35">
        <v>32</v>
      </c>
      <c r="G35">
        <v>5595</v>
      </c>
      <c r="H35">
        <v>179050</v>
      </c>
      <c r="I35">
        <v>554</v>
      </c>
    </row>
    <row r="36" spans="1:9" x14ac:dyDescent="0.3">
      <c r="A36" t="s">
        <v>94</v>
      </c>
      <c r="B36" s="1">
        <v>45123</v>
      </c>
      <c r="C36" t="s">
        <v>95</v>
      </c>
      <c r="D36" t="s">
        <v>69</v>
      </c>
      <c r="E36" t="s">
        <v>13</v>
      </c>
      <c r="F36">
        <v>45</v>
      </c>
      <c r="G36">
        <v>6153</v>
      </c>
      <c r="H36">
        <v>276878</v>
      </c>
      <c r="I36">
        <v>5432</v>
      </c>
    </row>
    <row r="37" spans="1:9" x14ac:dyDescent="0.3">
      <c r="A37" t="s">
        <v>96</v>
      </c>
      <c r="B37" s="1">
        <v>44670</v>
      </c>
      <c r="C37" t="s">
        <v>97</v>
      </c>
      <c r="D37" t="s">
        <v>32</v>
      </c>
      <c r="E37" t="s">
        <v>19</v>
      </c>
      <c r="F37">
        <v>8</v>
      </c>
      <c r="G37">
        <v>8313</v>
      </c>
      <c r="H37">
        <v>66506</v>
      </c>
      <c r="I37">
        <v>5746</v>
      </c>
    </row>
    <row r="38" spans="1:9" x14ac:dyDescent="0.3">
      <c r="A38" t="s">
        <v>98</v>
      </c>
      <c r="B38" s="1">
        <v>44918</v>
      </c>
      <c r="C38" t="s">
        <v>99</v>
      </c>
      <c r="D38" t="s">
        <v>43</v>
      </c>
      <c r="E38" t="s">
        <v>19</v>
      </c>
      <c r="F38">
        <v>7</v>
      </c>
      <c r="G38">
        <v>1996</v>
      </c>
      <c r="H38">
        <v>13972</v>
      </c>
      <c r="I38">
        <v>294</v>
      </c>
    </row>
    <row r="39" spans="1:9" x14ac:dyDescent="0.3">
      <c r="A39" t="s">
        <v>100</v>
      </c>
      <c r="B39" s="1">
        <v>45633</v>
      </c>
      <c r="C39" t="s">
        <v>101</v>
      </c>
      <c r="D39" t="s">
        <v>34</v>
      </c>
      <c r="E39" t="s">
        <v>7</v>
      </c>
      <c r="F39">
        <v>20</v>
      </c>
      <c r="G39">
        <v>528</v>
      </c>
      <c r="H39">
        <v>10555</v>
      </c>
      <c r="I39">
        <v>95</v>
      </c>
    </row>
    <row r="40" spans="1:9" x14ac:dyDescent="0.3">
      <c r="A40" t="s">
        <v>102</v>
      </c>
      <c r="B40" s="1">
        <v>44595</v>
      </c>
      <c r="C40" t="s">
        <v>103</v>
      </c>
      <c r="D40" t="s">
        <v>36</v>
      </c>
      <c r="E40" t="s">
        <v>19</v>
      </c>
      <c r="F40">
        <v>52</v>
      </c>
      <c r="G40">
        <v>7513</v>
      </c>
      <c r="H40">
        <v>390662</v>
      </c>
      <c r="I40">
        <v>9246</v>
      </c>
    </row>
    <row r="41" spans="1:9" x14ac:dyDescent="0.3">
      <c r="A41" t="s">
        <v>104</v>
      </c>
      <c r="B41" s="1">
        <v>43968</v>
      </c>
      <c r="C41" t="s">
        <v>105</v>
      </c>
      <c r="D41" t="s">
        <v>8</v>
      </c>
      <c r="E41" t="s">
        <v>19</v>
      </c>
      <c r="F41">
        <v>17</v>
      </c>
      <c r="G41">
        <v>9143</v>
      </c>
      <c r="H41">
        <v>155439</v>
      </c>
      <c r="I41">
        <v>586</v>
      </c>
    </row>
    <row r="42" spans="1:9" x14ac:dyDescent="0.3">
      <c r="A42" t="s">
        <v>106</v>
      </c>
      <c r="B42" s="1">
        <v>45552</v>
      </c>
      <c r="C42" t="s">
        <v>107</v>
      </c>
      <c r="D42" t="s">
        <v>46</v>
      </c>
      <c r="E42" t="s">
        <v>7</v>
      </c>
      <c r="F42">
        <v>54</v>
      </c>
      <c r="G42">
        <v>5031</v>
      </c>
      <c r="H42">
        <v>271650</v>
      </c>
      <c r="I42">
        <v>2702</v>
      </c>
    </row>
    <row r="43" spans="1:9" x14ac:dyDescent="0.3">
      <c r="A43" t="s">
        <v>108</v>
      </c>
      <c r="B43" s="1">
        <v>45054</v>
      </c>
      <c r="C43" t="s">
        <v>109</v>
      </c>
      <c r="D43" t="s">
        <v>46</v>
      </c>
      <c r="E43" t="s">
        <v>19</v>
      </c>
      <c r="F43">
        <v>48</v>
      </c>
      <c r="G43">
        <v>2486</v>
      </c>
      <c r="H43">
        <v>119312</v>
      </c>
      <c r="I43">
        <v>368</v>
      </c>
    </row>
    <row r="44" spans="1:9" x14ac:dyDescent="0.3">
      <c r="A44" t="s">
        <v>110</v>
      </c>
      <c r="B44" s="1">
        <v>44802</v>
      </c>
      <c r="C44" t="s">
        <v>111</v>
      </c>
      <c r="D44" t="s">
        <v>32</v>
      </c>
      <c r="E44" t="s">
        <v>13</v>
      </c>
      <c r="F44">
        <v>81</v>
      </c>
      <c r="G44">
        <v>10159</v>
      </c>
      <c r="H44">
        <v>822867</v>
      </c>
      <c r="I44">
        <v>21348</v>
      </c>
    </row>
    <row r="45" spans="1:9" x14ac:dyDescent="0.3">
      <c r="A45" t="s">
        <v>112</v>
      </c>
      <c r="B45" s="1">
        <v>45539</v>
      </c>
      <c r="C45" t="s">
        <v>113</v>
      </c>
      <c r="D45" t="s">
        <v>46</v>
      </c>
      <c r="E45" t="s">
        <v>19</v>
      </c>
      <c r="F45">
        <v>68</v>
      </c>
      <c r="G45">
        <v>9460</v>
      </c>
      <c r="H45">
        <v>643270</v>
      </c>
      <c r="I45">
        <v>8770</v>
      </c>
    </row>
    <row r="46" spans="1:9" x14ac:dyDescent="0.3">
      <c r="A46" t="s">
        <v>114</v>
      </c>
      <c r="B46" s="1">
        <v>45475</v>
      </c>
      <c r="C46" t="s">
        <v>115</v>
      </c>
      <c r="D46" t="s">
        <v>77</v>
      </c>
      <c r="E46" t="s">
        <v>13</v>
      </c>
      <c r="F46">
        <v>11</v>
      </c>
      <c r="G46">
        <v>3391</v>
      </c>
      <c r="H46">
        <v>37298</v>
      </c>
      <c r="I46">
        <v>3394</v>
      </c>
    </row>
    <row r="47" spans="1:9" x14ac:dyDescent="0.3">
      <c r="A47" t="s">
        <v>116</v>
      </c>
      <c r="B47" s="1">
        <v>45338</v>
      </c>
      <c r="C47" t="s">
        <v>117</v>
      </c>
      <c r="D47" t="s">
        <v>15</v>
      </c>
      <c r="E47" t="s">
        <v>13</v>
      </c>
      <c r="F47">
        <v>26</v>
      </c>
      <c r="G47">
        <v>6227</v>
      </c>
      <c r="H47">
        <v>161892</v>
      </c>
      <c r="I47">
        <v>2542</v>
      </c>
    </row>
    <row r="48" spans="1:9" x14ac:dyDescent="0.3">
      <c r="A48" t="s">
        <v>118</v>
      </c>
      <c r="B48" s="1">
        <v>44526</v>
      </c>
      <c r="C48" t="s">
        <v>119</v>
      </c>
      <c r="D48" t="s">
        <v>34</v>
      </c>
      <c r="E48" t="s">
        <v>19</v>
      </c>
      <c r="F48">
        <v>17</v>
      </c>
      <c r="G48">
        <v>6795</v>
      </c>
      <c r="H48">
        <v>115509</v>
      </c>
      <c r="I48">
        <v>5601</v>
      </c>
    </row>
    <row r="49" spans="1:9" x14ac:dyDescent="0.3">
      <c r="A49" t="s">
        <v>120</v>
      </c>
      <c r="B49" s="1">
        <v>45323</v>
      </c>
      <c r="C49" t="s">
        <v>121</v>
      </c>
      <c r="D49" t="s">
        <v>29</v>
      </c>
      <c r="E49" t="s">
        <v>13</v>
      </c>
      <c r="F49">
        <v>33</v>
      </c>
      <c r="G49">
        <v>3716</v>
      </c>
      <c r="H49">
        <v>122628</v>
      </c>
      <c r="I49">
        <v>7977</v>
      </c>
    </row>
    <row r="50" spans="1:9" x14ac:dyDescent="0.3">
      <c r="A50" t="s">
        <v>122</v>
      </c>
      <c r="B50" s="1">
        <v>45482</v>
      </c>
      <c r="C50" t="s">
        <v>123</v>
      </c>
      <c r="D50" t="s">
        <v>18</v>
      </c>
      <c r="E50" t="s">
        <v>13</v>
      </c>
      <c r="F50">
        <v>57</v>
      </c>
      <c r="G50">
        <v>2708</v>
      </c>
      <c r="H50">
        <v>154351</v>
      </c>
      <c r="I50">
        <v>3389</v>
      </c>
    </row>
    <row r="51" spans="1:9" x14ac:dyDescent="0.3">
      <c r="A51" t="s">
        <v>124</v>
      </c>
      <c r="B51" s="1">
        <v>44985</v>
      </c>
      <c r="C51" t="s">
        <v>125</v>
      </c>
      <c r="D51" t="s">
        <v>29</v>
      </c>
      <c r="E51" t="s">
        <v>13</v>
      </c>
      <c r="F51">
        <v>14</v>
      </c>
      <c r="G51">
        <v>6948</v>
      </c>
      <c r="H51">
        <v>97265</v>
      </c>
      <c r="I51">
        <v>3430</v>
      </c>
    </row>
    <row r="52" spans="1:9" x14ac:dyDescent="0.3">
      <c r="A52" t="s">
        <v>126</v>
      </c>
      <c r="B52" s="1">
        <v>44781</v>
      </c>
      <c r="C52" t="s">
        <v>127</v>
      </c>
      <c r="D52" t="s">
        <v>49</v>
      </c>
      <c r="E52" t="s">
        <v>13</v>
      </c>
      <c r="F52">
        <v>18</v>
      </c>
      <c r="G52">
        <v>9148</v>
      </c>
      <c r="H52">
        <v>164655</v>
      </c>
      <c r="I52">
        <v>4401</v>
      </c>
    </row>
    <row r="53" spans="1:9" x14ac:dyDescent="0.3">
      <c r="A53" t="s">
        <v>128</v>
      </c>
      <c r="B53" s="1">
        <v>45411</v>
      </c>
      <c r="C53" t="s">
        <v>129</v>
      </c>
      <c r="D53" t="s">
        <v>9</v>
      </c>
      <c r="E53" t="s">
        <v>19</v>
      </c>
      <c r="F53">
        <v>70</v>
      </c>
      <c r="G53">
        <v>6187</v>
      </c>
      <c r="H53">
        <v>433076</v>
      </c>
      <c r="I53">
        <v>6896</v>
      </c>
    </row>
    <row r="54" spans="1:9" x14ac:dyDescent="0.3">
      <c r="A54" t="s">
        <v>130</v>
      </c>
      <c r="B54" s="1">
        <v>44563</v>
      </c>
      <c r="C54" t="s">
        <v>131</v>
      </c>
      <c r="D54" t="s">
        <v>43</v>
      </c>
      <c r="E54" t="s">
        <v>7</v>
      </c>
      <c r="F54">
        <v>11</v>
      </c>
      <c r="G54">
        <v>724</v>
      </c>
      <c r="H54">
        <v>7963</v>
      </c>
      <c r="I54">
        <v>197</v>
      </c>
    </row>
    <row r="55" spans="1:9" x14ac:dyDescent="0.3">
      <c r="A55" t="s">
        <v>132</v>
      </c>
      <c r="B55" s="1">
        <v>44790</v>
      </c>
      <c r="C55" t="s">
        <v>133</v>
      </c>
      <c r="D55" t="s">
        <v>15</v>
      </c>
      <c r="E55" t="s">
        <v>13</v>
      </c>
      <c r="F55">
        <v>129</v>
      </c>
      <c r="G55">
        <v>9297</v>
      </c>
      <c r="H55">
        <v>1199265</v>
      </c>
      <c r="I55">
        <v>20544</v>
      </c>
    </row>
    <row r="56" spans="1:9" x14ac:dyDescent="0.3">
      <c r="A56" t="s">
        <v>134</v>
      </c>
      <c r="B56" s="1">
        <v>44989</v>
      </c>
      <c r="C56" t="s">
        <v>135</v>
      </c>
      <c r="D56" t="s">
        <v>54</v>
      </c>
      <c r="E56" t="s">
        <v>19</v>
      </c>
      <c r="F56">
        <v>22</v>
      </c>
      <c r="G56">
        <v>792</v>
      </c>
      <c r="H56">
        <v>17422</v>
      </c>
      <c r="I56">
        <v>482</v>
      </c>
    </row>
    <row r="57" spans="1:9" x14ac:dyDescent="0.3">
      <c r="A57" t="s">
        <v>136</v>
      </c>
      <c r="B57" s="1">
        <v>45276</v>
      </c>
      <c r="C57" t="s">
        <v>137</v>
      </c>
      <c r="D57" t="s">
        <v>32</v>
      </c>
      <c r="E57" t="s">
        <v>19</v>
      </c>
      <c r="F57">
        <v>20</v>
      </c>
      <c r="G57">
        <v>9975</v>
      </c>
      <c r="H57">
        <v>199498</v>
      </c>
      <c r="I57">
        <v>1598</v>
      </c>
    </row>
    <row r="58" spans="1:9" x14ac:dyDescent="0.3">
      <c r="A58" t="s">
        <v>138</v>
      </c>
      <c r="B58" s="1">
        <v>45431</v>
      </c>
      <c r="C58" t="s">
        <v>139</v>
      </c>
      <c r="D58" t="s">
        <v>77</v>
      </c>
      <c r="E58" t="s">
        <v>13</v>
      </c>
      <c r="F58">
        <v>42</v>
      </c>
      <c r="G58">
        <v>3806</v>
      </c>
      <c r="H58">
        <v>159852</v>
      </c>
      <c r="I58">
        <v>3860</v>
      </c>
    </row>
    <row r="59" spans="1:9" x14ac:dyDescent="0.3">
      <c r="A59" t="s">
        <v>140</v>
      </c>
      <c r="B59" s="1">
        <v>44437</v>
      </c>
      <c r="C59" t="s">
        <v>141</v>
      </c>
      <c r="D59" t="s">
        <v>11</v>
      </c>
      <c r="E59" t="s">
        <v>19</v>
      </c>
      <c r="F59">
        <v>16</v>
      </c>
      <c r="G59">
        <v>9870</v>
      </c>
      <c r="H59">
        <v>157913</v>
      </c>
      <c r="I59">
        <v>793</v>
      </c>
    </row>
    <row r="60" spans="1:9" x14ac:dyDescent="0.3">
      <c r="A60" t="s">
        <v>142</v>
      </c>
      <c r="B60" s="1">
        <v>45606</v>
      </c>
      <c r="C60" t="s">
        <v>143</v>
      </c>
      <c r="D60" t="s">
        <v>34</v>
      </c>
      <c r="E60" t="s">
        <v>13</v>
      </c>
      <c r="F60">
        <v>28</v>
      </c>
      <c r="G60">
        <v>5722</v>
      </c>
      <c r="H60">
        <v>160229</v>
      </c>
      <c r="I60">
        <v>2905</v>
      </c>
    </row>
    <row r="61" spans="1:9" x14ac:dyDescent="0.3">
      <c r="A61" t="s">
        <v>144</v>
      </c>
      <c r="B61" s="1">
        <v>44535</v>
      </c>
      <c r="C61" t="s">
        <v>145</v>
      </c>
      <c r="D61" t="s">
        <v>15</v>
      </c>
      <c r="E61" t="s">
        <v>13</v>
      </c>
      <c r="F61">
        <v>9</v>
      </c>
      <c r="G61">
        <v>7560</v>
      </c>
      <c r="H61">
        <v>68043</v>
      </c>
      <c r="I61">
        <v>3881</v>
      </c>
    </row>
    <row r="62" spans="1:9" x14ac:dyDescent="0.3">
      <c r="A62" t="s">
        <v>146</v>
      </c>
      <c r="B62" s="1">
        <v>45478</v>
      </c>
      <c r="C62" t="s">
        <v>147</v>
      </c>
      <c r="D62" t="s">
        <v>77</v>
      </c>
      <c r="E62" t="s">
        <v>13</v>
      </c>
      <c r="F62">
        <v>27</v>
      </c>
      <c r="G62">
        <v>3572</v>
      </c>
      <c r="H62">
        <v>96442</v>
      </c>
      <c r="I62">
        <v>713</v>
      </c>
    </row>
    <row r="63" spans="1:9" x14ac:dyDescent="0.3">
      <c r="A63" t="s">
        <v>148</v>
      </c>
      <c r="B63" s="1">
        <v>45468</v>
      </c>
      <c r="C63" t="s">
        <v>149</v>
      </c>
      <c r="D63" t="s">
        <v>8</v>
      </c>
      <c r="E63" t="s">
        <v>13</v>
      </c>
      <c r="F63">
        <v>19</v>
      </c>
      <c r="G63">
        <v>8874</v>
      </c>
      <c r="H63">
        <v>168597</v>
      </c>
      <c r="I63">
        <v>1545</v>
      </c>
    </row>
    <row r="64" spans="1:9" x14ac:dyDescent="0.3">
      <c r="A64" t="s">
        <v>150</v>
      </c>
      <c r="B64" s="1">
        <v>45443</v>
      </c>
      <c r="C64" t="s">
        <v>151</v>
      </c>
      <c r="D64" t="s">
        <v>9</v>
      </c>
      <c r="E64" t="s">
        <v>13</v>
      </c>
      <c r="F64">
        <v>8</v>
      </c>
      <c r="G64">
        <v>8946</v>
      </c>
      <c r="H64">
        <v>71569</v>
      </c>
      <c r="I64">
        <v>3115</v>
      </c>
    </row>
    <row r="65" spans="1:9" x14ac:dyDescent="0.3">
      <c r="A65" t="s">
        <v>152</v>
      </c>
      <c r="B65" s="1">
        <v>44784</v>
      </c>
      <c r="C65" t="s">
        <v>153</v>
      </c>
      <c r="D65" t="s">
        <v>29</v>
      </c>
      <c r="E65" t="s">
        <v>13</v>
      </c>
      <c r="F65">
        <v>69</v>
      </c>
      <c r="G65">
        <v>8722</v>
      </c>
      <c r="H65">
        <v>601785</v>
      </c>
      <c r="I65">
        <v>17991</v>
      </c>
    </row>
    <row r="66" spans="1:9" x14ac:dyDescent="0.3">
      <c r="A66" t="s">
        <v>154</v>
      </c>
      <c r="B66" s="1">
        <v>44615</v>
      </c>
      <c r="C66" t="s">
        <v>155</v>
      </c>
      <c r="D66" t="s">
        <v>18</v>
      </c>
      <c r="E66" t="s">
        <v>19</v>
      </c>
      <c r="F66">
        <v>17</v>
      </c>
      <c r="G66">
        <v>1336</v>
      </c>
      <c r="H66">
        <v>22711</v>
      </c>
      <c r="I66">
        <v>927</v>
      </c>
    </row>
    <row r="67" spans="1:9" x14ac:dyDescent="0.3">
      <c r="A67" t="s">
        <v>156</v>
      </c>
      <c r="B67" s="1">
        <v>45189</v>
      </c>
      <c r="C67" t="s">
        <v>157</v>
      </c>
      <c r="D67" t="s">
        <v>60</v>
      </c>
      <c r="E67" t="s">
        <v>7</v>
      </c>
      <c r="F67">
        <v>13</v>
      </c>
      <c r="G67">
        <v>1895</v>
      </c>
      <c r="H67">
        <v>24637</v>
      </c>
      <c r="I67">
        <v>457</v>
      </c>
    </row>
    <row r="68" spans="1:9" x14ac:dyDescent="0.3">
      <c r="A68" t="s">
        <v>158</v>
      </c>
      <c r="B68" s="1">
        <v>44215</v>
      </c>
      <c r="C68" t="s">
        <v>159</v>
      </c>
      <c r="D68" t="s">
        <v>89</v>
      </c>
      <c r="E68" t="s">
        <v>13</v>
      </c>
      <c r="F68">
        <v>9</v>
      </c>
      <c r="G68">
        <v>1428</v>
      </c>
      <c r="H68">
        <v>12853</v>
      </c>
      <c r="I68">
        <v>2226</v>
      </c>
    </row>
    <row r="69" spans="1:9" x14ac:dyDescent="0.3">
      <c r="A69" t="s">
        <v>160</v>
      </c>
      <c r="B69" s="1">
        <v>45284</v>
      </c>
      <c r="C69" t="s">
        <v>161</v>
      </c>
      <c r="D69" t="s">
        <v>46</v>
      </c>
      <c r="E69" t="s">
        <v>19</v>
      </c>
      <c r="F69">
        <v>75</v>
      </c>
      <c r="G69">
        <v>5182</v>
      </c>
      <c r="H69">
        <v>388686</v>
      </c>
      <c r="I69">
        <v>11379</v>
      </c>
    </row>
    <row r="70" spans="1:9" x14ac:dyDescent="0.3">
      <c r="A70" t="s">
        <v>162</v>
      </c>
      <c r="B70" s="1">
        <v>44640</v>
      </c>
      <c r="C70" t="s">
        <v>163</v>
      </c>
      <c r="D70" t="s">
        <v>8</v>
      </c>
      <c r="E70" t="s">
        <v>13</v>
      </c>
      <c r="F70">
        <v>20</v>
      </c>
      <c r="G70">
        <v>3285</v>
      </c>
      <c r="H70">
        <v>65709</v>
      </c>
      <c r="I70">
        <v>1029</v>
      </c>
    </row>
    <row r="71" spans="1:9" x14ac:dyDescent="0.3">
      <c r="A71" t="s">
        <v>164</v>
      </c>
      <c r="B71" s="1">
        <v>44420</v>
      </c>
      <c r="C71" t="s">
        <v>165</v>
      </c>
      <c r="D71" t="s">
        <v>29</v>
      </c>
      <c r="E71" t="s">
        <v>19</v>
      </c>
      <c r="F71">
        <v>27</v>
      </c>
      <c r="G71">
        <v>7341</v>
      </c>
      <c r="H71">
        <v>198198</v>
      </c>
      <c r="I71">
        <v>2988</v>
      </c>
    </row>
    <row r="72" spans="1:9" x14ac:dyDescent="0.3">
      <c r="A72" t="s">
        <v>166</v>
      </c>
      <c r="B72" s="1">
        <v>45114</v>
      </c>
      <c r="C72" t="s">
        <v>167</v>
      </c>
      <c r="D72" t="s">
        <v>77</v>
      </c>
      <c r="E72" t="s">
        <v>19</v>
      </c>
      <c r="F72">
        <v>14</v>
      </c>
      <c r="G72">
        <v>9133</v>
      </c>
      <c r="H72">
        <v>127856</v>
      </c>
      <c r="I72">
        <v>7652</v>
      </c>
    </row>
    <row r="73" spans="1:9" x14ac:dyDescent="0.3">
      <c r="A73" t="s">
        <v>168</v>
      </c>
      <c r="B73" s="1">
        <v>45151</v>
      </c>
      <c r="C73" t="s">
        <v>169</v>
      </c>
      <c r="D73" t="s">
        <v>46</v>
      </c>
      <c r="E73" t="s">
        <v>19</v>
      </c>
      <c r="F73">
        <v>52</v>
      </c>
      <c r="G73">
        <v>5217</v>
      </c>
      <c r="H73">
        <v>271288</v>
      </c>
      <c r="I73">
        <v>8844</v>
      </c>
    </row>
    <row r="74" spans="1:9" x14ac:dyDescent="0.3">
      <c r="A74" t="s">
        <v>170</v>
      </c>
      <c r="B74" s="1">
        <v>44344</v>
      </c>
      <c r="C74" t="s">
        <v>171</v>
      </c>
      <c r="D74" t="s">
        <v>46</v>
      </c>
      <c r="E74" t="s">
        <v>19</v>
      </c>
      <c r="F74">
        <v>1</v>
      </c>
      <c r="G74">
        <v>3820</v>
      </c>
      <c r="H74">
        <v>3820</v>
      </c>
      <c r="I74">
        <v>163</v>
      </c>
    </row>
    <row r="75" spans="1:9" x14ac:dyDescent="0.3">
      <c r="A75" t="s">
        <v>172</v>
      </c>
      <c r="B75" s="1">
        <v>45491</v>
      </c>
      <c r="C75" t="s">
        <v>173</v>
      </c>
      <c r="D75" t="s">
        <v>89</v>
      </c>
      <c r="E75" t="s">
        <v>7</v>
      </c>
      <c r="F75">
        <v>18</v>
      </c>
      <c r="G75">
        <v>6629</v>
      </c>
      <c r="H75">
        <v>119320</v>
      </c>
      <c r="I75">
        <v>2842</v>
      </c>
    </row>
    <row r="76" spans="1:9" x14ac:dyDescent="0.3">
      <c r="A76" t="s">
        <v>174</v>
      </c>
      <c r="B76" s="1">
        <v>45632</v>
      </c>
      <c r="C76" t="s">
        <v>175</v>
      </c>
      <c r="D76" t="s">
        <v>60</v>
      </c>
      <c r="E76" t="s">
        <v>13</v>
      </c>
      <c r="F76">
        <v>17</v>
      </c>
      <c r="G76">
        <v>3536</v>
      </c>
      <c r="H76">
        <v>60110</v>
      </c>
      <c r="I76">
        <v>1903</v>
      </c>
    </row>
    <row r="77" spans="1:9" x14ac:dyDescent="0.3">
      <c r="A77" t="s">
        <v>176</v>
      </c>
      <c r="B77" s="1">
        <v>44907</v>
      </c>
      <c r="C77" t="s">
        <v>177</v>
      </c>
      <c r="D77" t="s">
        <v>89</v>
      </c>
      <c r="E77" t="s">
        <v>7</v>
      </c>
      <c r="F77">
        <v>10</v>
      </c>
      <c r="G77">
        <v>6951</v>
      </c>
      <c r="H77">
        <v>69507</v>
      </c>
      <c r="I77">
        <v>2797</v>
      </c>
    </row>
    <row r="78" spans="1:9" x14ac:dyDescent="0.3">
      <c r="A78" t="s">
        <v>178</v>
      </c>
      <c r="B78" s="1">
        <v>44854</v>
      </c>
      <c r="C78" t="s">
        <v>179</v>
      </c>
      <c r="D78" t="s">
        <v>29</v>
      </c>
      <c r="E78" t="s">
        <v>13</v>
      </c>
      <c r="F78">
        <v>12</v>
      </c>
      <c r="G78">
        <v>9266</v>
      </c>
      <c r="H78">
        <v>111191</v>
      </c>
      <c r="I78">
        <v>2843</v>
      </c>
    </row>
    <row r="79" spans="1:9" x14ac:dyDescent="0.3">
      <c r="A79" t="s">
        <v>180</v>
      </c>
      <c r="B79" s="1">
        <v>45663</v>
      </c>
      <c r="C79" t="s">
        <v>181</v>
      </c>
      <c r="D79" t="s">
        <v>8</v>
      </c>
      <c r="E79" t="s">
        <v>13</v>
      </c>
      <c r="F79">
        <v>66</v>
      </c>
      <c r="G79">
        <v>7862</v>
      </c>
      <c r="H79">
        <v>518874</v>
      </c>
      <c r="I79">
        <v>14396</v>
      </c>
    </row>
    <row r="80" spans="1:9" x14ac:dyDescent="0.3">
      <c r="A80" t="s">
        <v>182</v>
      </c>
      <c r="B80" s="1">
        <v>44261</v>
      </c>
      <c r="C80" t="s">
        <v>183</v>
      </c>
      <c r="D80" t="s">
        <v>69</v>
      </c>
      <c r="E80" t="s">
        <v>13</v>
      </c>
      <c r="F80">
        <v>40</v>
      </c>
      <c r="G80">
        <v>6922</v>
      </c>
      <c r="H80">
        <v>276891</v>
      </c>
      <c r="I80">
        <v>7029</v>
      </c>
    </row>
    <row r="81" spans="1:9" x14ac:dyDescent="0.3">
      <c r="A81" t="s">
        <v>184</v>
      </c>
      <c r="B81" s="1">
        <v>45170</v>
      </c>
      <c r="C81" t="s">
        <v>185</v>
      </c>
      <c r="D81" t="s">
        <v>46</v>
      </c>
      <c r="E81" t="s">
        <v>13</v>
      </c>
      <c r="F81">
        <v>32</v>
      </c>
      <c r="G81">
        <v>10155</v>
      </c>
      <c r="H81">
        <v>324946</v>
      </c>
      <c r="I81">
        <v>6066</v>
      </c>
    </row>
    <row r="82" spans="1:9" x14ac:dyDescent="0.3">
      <c r="A82" t="s">
        <v>186</v>
      </c>
      <c r="B82" s="1">
        <v>45085</v>
      </c>
      <c r="C82" t="s">
        <v>187</v>
      </c>
      <c r="D82" t="s">
        <v>32</v>
      </c>
      <c r="E82" t="s">
        <v>19</v>
      </c>
      <c r="F82">
        <v>10</v>
      </c>
      <c r="G82">
        <v>6874</v>
      </c>
      <c r="H82">
        <v>68738</v>
      </c>
      <c r="I82">
        <v>658</v>
      </c>
    </row>
    <row r="83" spans="1:9" x14ac:dyDescent="0.3">
      <c r="A83" t="s">
        <v>188</v>
      </c>
      <c r="B83" s="1">
        <v>44280</v>
      </c>
      <c r="C83" t="s">
        <v>189</v>
      </c>
      <c r="D83" t="s">
        <v>32</v>
      </c>
      <c r="E83" t="s">
        <v>7</v>
      </c>
      <c r="F83">
        <v>26</v>
      </c>
      <c r="G83">
        <v>7250</v>
      </c>
      <c r="H83">
        <v>188508</v>
      </c>
      <c r="I83">
        <v>5886</v>
      </c>
    </row>
    <row r="84" spans="1:9" x14ac:dyDescent="0.3">
      <c r="A84" t="s">
        <v>190</v>
      </c>
      <c r="B84" s="1">
        <v>44199</v>
      </c>
      <c r="C84" t="s">
        <v>191</v>
      </c>
      <c r="D84" t="s">
        <v>18</v>
      </c>
      <c r="E84" t="s">
        <v>13</v>
      </c>
      <c r="F84">
        <v>11</v>
      </c>
      <c r="G84">
        <v>1184</v>
      </c>
      <c r="H84">
        <v>13022</v>
      </c>
      <c r="I84">
        <v>1066</v>
      </c>
    </row>
    <row r="85" spans="1:9" x14ac:dyDescent="0.3">
      <c r="A85" t="s">
        <v>192</v>
      </c>
      <c r="B85" s="1">
        <v>45653</v>
      </c>
      <c r="C85" t="s">
        <v>193</v>
      </c>
      <c r="D85" t="s">
        <v>22</v>
      </c>
      <c r="E85" t="s">
        <v>19</v>
      </c>
      <c r="F85">
        <v>6</v>
      </c>
      <c r="G85">
        <v>2950</v>
      </c>
      <c r="H85">
        <v>17703</v>
      </c>
      <c r="I85">
        <v>1149</v>
      </c>
    </row>
    <row r="86" spans="1:9" x14ac:dyDescent="0.3">
      <c r="A86" t="s">
        <v>194</v>
      </c>
      <c r="B86" s="1">
        <v>44785</v>
      </c>
      <c r="C86" t="s">
        <v>195</v>
      </c>
      <c r="D86" t="s">
        <v>15</v>
      </c>
      <c r="E86" t="s">
        <v>7</v>
      </c>
      <c r="F86">
        <v>4</v>
      </c>
      <c r="G86">
        <v>1495</v>
      </c>
      <c r="H86">
        <v>5979</v>
      </c>
      <c r="I86">
        <v>615</v>
      </c>
    </row>
    <row r="87" spans="1:9" x14ac:dyDescent="0.3">
      <c r="A87" t="s">
        <v>196</v>
      </c>
      <c r="B87" s="1">
        <v>45122</v>
      </c>
      <c r="C87" t="s">
        <v>197</v>
      </c>
      <c r="D87" t="s">
        <v>15</v>
      </c>
      <c r="E87" t="s">
        <v>19</v>
      </c>
      <c r="F87">
        <v>99</v>
      </c>
      <c r="G87">
        <v>10110</v>
      </c>
      <c r="H87">
        <v>1000842</v>
      </c>
      <c r="I87">
        <v>19797</v>
      </c>
    </row>
    <row r="88" spans="1:9" x14ac:dyDescent="0.3">
      <c r="A88" t="s">
        <v>198</v>
      </c>
      <c r="B88" s="1">
        <v>44955</v>
      </c>
      <c r="C88" t="s">
        <v>199</v>
      </c>
      <c r="D88" t="s">
        <v>69</v>
      </c>
      <c r="E88" t="s">
        <v>19</v>
      </c>
      <c r="F88">
        <v>30</v>
      </c>
      <c r="G88">
        <v>7517</v>
      </c>
      <c r="H88">
        <v>225504</v>
      </c>
      <c r="I88">
        <v>2874</v>
      </c>
    </row>
    <row r="89" spans="1:9" x14ac:dyDescent="0.3">
      <c r="A89" t="s">
        <v>200</v>
      </c>
      <c r="B89" s="1">
        <v>44576</v>
      </c>
      <c r="C89" t="s">
        <v>201</v>
      </c>
      <c r="D89" t="s">
        <v>11</v>
      </c>
      <c r="E89" t="s">
        <v>13</v>
      </c>
      <c r="F89">
        <v>8</v>
      </c>
      <c r="G89">
        <v>2766</v>
      </c>
      <c r="H89">
        <v>22131</v>
      </c>
      <c r="I89">
        <v>1385</v>
      </c>
    </row>
    <row r="90" spans="1:9" x14ac:dyDescent="0.3">
      <c r="A90" t="s">
        <v>202</v>
      </c>
      <c r="B90" s="1">
        <v>45707</v>
      </c>
      <c r="C90" t="s">
        <v>203</v>
      </c>
      <c r="D90" t="s">
        <v>8</v>
      </c>
      <c r="E90" t="s">
        <v>7</v>
      </c>
      <c r="F90">
        <v>24</v>
      </c>
      <c r="G90">
        <v>7248</v>
      </c>
      <c r="H90">
        <v>173946</v>
      </c>
      <c r="I90">
        <v>6858</v>
      </c>
    </row>
    <row r="91" spans="1:9" x14ac:dyDescent="0.3">
      <c r="A91" t="s">
        <v>204</v>
      </c>
      <c r="B91" s="1">
        <v>45486</v>
      </c>
      <c r="C91" t="s">
        <v>205</v>
      </c>
      <c r="D91" t="s">
        <v>11</v>
      </c>
      <c r="E91" t="s">
        <v>19</v>
      </c>
      <c r="F91">
        <v>20</v>
      </c>
      <c r="G91">
        <v>1100</v>
      </c>
      <c r="H91">
        <v>22001</v>
      </c>
      <c r="I91">
        <v>301</v>
      </c>
    </row>
    <row r="92" spans="1:9" x14ac:dyDescent="0.3">
      <c r="A92" t="s">
        <v>206</v>
      </c>
      <c r="B92" s="1">
        <v>45426</v>
      </c>
      <c r="C92" t="s">
        <v>207</v>
      </c>
      <c r="D92" t="s">
        <v>22</v>
      </c>
      <c r="E92" t="s">
        <v>19</v>
      </c>
      <c r="F92">
        <v>8</v>
      </c>
      <c r="G92">
        <v>909</v>
      </c>
      <c r="H92">
        <v>7272</v>
      </c>
      <c r="I92">
        <v>1368</v>
      </c>
    </row>
    <row r="93" spans="1:9" x14ac:dyDescent="0.3">
      <c r="A93" t="s">
        <v>208</v>
      </c>
      <c r="B93" s="1">
        <v>45187</v>
      </c>
      <c r="C93" t="s">
        <v>209</v>
      </c>
      <c r="D93" t="s">
        <v>49</v>
      </c>
      <c r="E93" t="s">
        <v>13</v>
      </c>
      <c r="F93">
        <v>30</v>
      </c>
      <c r="G93">
        <v>1445</v>
      </c>
      <c r="H93">
        <v>43353</v>
      </c>
      <c r="I93">
        <v>397</v>
      </c>
    </row>
    <row r="94" spans="1:9" x14ac:dyDescent="0.3">
      <c r="A94" t="s">
        <v>210</v>
      </c>
      <c r="B94" s="1">
        <v>45186</v>
      </c>
      <c r="C94" t="s">
        <v>211</v>
      </c>
      <c r="D94" t="s">
        <v>77</v>
      </c>
      <c r="E94" t="s">
        <v>13</v>
      </c>
      <c r="F94">
        <v>46</v>
      </c>
      <c r="G94">
        <v>5808</v>
      </c>
      <c r="H94">
        <v>267154</v>
      </c>
      <c r="I94">
        <v>6086</v>
      </c>
    </row>
    <row r="95" spans="1:9" x14ac:dyDescent="0.3">
      <c r="A95" t="s">
        <v>212</v>
      </c>
      <c r="B95" s="1">
        <v>45541</v>
      </c>
      <c r="C95" t="s">
        <v>213</v>
      </c>
      <c r="D95" t="s">
        <v>89</v>
      </c>
      <c r="E95" t="s">
        <v>13</v>
      </c>
      <c r="F95">
        <v>2</v>
      </c>
      <c r="G95">
        <v>6716</v>
      </c>
      <c r="H95">
        <v>13431</v>
      </c>
      <c r="I95">
        <v>1563</v>
      </c>
    </row>
    <row r="96" spans="1:9" x14ac:dyDescent="0.3">
      <c r="A96" t="s">
        <v>214</v>
      </c>
      <c r="B96" s="1">
        <v>44730</v>
      </c>
      <c r="C96" t="s">
        <v>215</v>
      </c>
      <c r="D96" t="s">
        <v>22</v>
      </c>
      <c r="E96" t="s">
        <v>13</v>
      </c>
      <c r="F96">
        <v>29</v>
      </c>
      <c r="G96">
        <v>5643</v>
      </c>
      <c r="H96">
        <v>163649</v>
      </c>
      <c r="I96">
        <v>3024</v>
      </c>
    </row>
    <row r="97" spans="1:9" x14ac:dyDescent="0.3">
      <c r="A97" t="s">
        <v>216</v>
      </c>
      <c r="B97" s="1">
        <v>43973</v>
      </c>
      <c r="C97" t="s">
        <v>217</v>
      </c>
      <c r="D97" t="s">
        <v>46</v>
      </c>
      <c r="E97" t="s">
        <v>13</v>
      </c>
      <c r="F97">
        <v>18</v>
      </c>
      <c r="G97">
        <v>2504</v>
      </c>
      <c r="H97">
        <v>45069</v>
      </c>
      <c r="I97">
        <v>699</v>
      </c>
    </row>
    <row r="98" spans="1:9" x14ac:dyDescent="0.3">
      <c r="A98" t="s">
        <v>218</v>
      </c>
      <c r="B98" s="1">
        <v>45582</v>
      </c>
      <c r="C98" t="s">
        <v>219</v>
      </c>
      <c r="D98" t="s">
        <v>34</v>
      </c>
      <c r="E98" t="s">
        <v>13</v>
      </c>
      <c r="F98">
        <v>9</v>
      </c>
      <c r="G98">
        <v>5334</v>
      </c>
      <c r="H98">
        <v>48009</v>
      </c>
      <c r="I98">
        <v>2852</v>
      </c>
    </row>
    <row r="99" spans="1:9" x14ac:dyDescent="0.3">
      <c r="A99" t="s">
        <v>220</v>
      </c>
      <c r="B99" s="1">
        <v>44642</v>
      </c>
      <c r="C99" t="s">
        <v>221</v>
      </c>
      <c r="D99" t="s">
        <v>60</v>
      </c>
      <c r="E99" t="s">
        <v>13</v>
      </c>
      <c r="F99">
        <v>8</v>
      </c>
      <c r="G99">
        <v>5101</v>
      </c>
      <c r="H99">
        <v>40808</v>
      </c>
      <c r="I99">
        <v>1152</v>
      </c>
    </row>
    <row r="100" spans="1:9" x14ac:dyDescent="0.3">
      <c r="A100" t="s">
        <v>222</v>
      </c>
      <c r="B100" s="1">
        <v>45368</v>
      </c>
      <c r="C100" t="s">
        <v>223</v>
      </c>
      <c r="D100" t="s">
        <v>49</v>
      </c>
      <c r="E100" t="s">
        <v>13</v>
      </c>
      <c r="F100">
        <v>32</v>
      </c>
      <c r="G100">
        <v>6559</v>
      </c>
      <c r="H100">
        <v>209895</v>
      </c>
      <c r="I100">
        <v>3387</v>
      </c>
    </row>
    <row r="101" spans="1:9" x14ac:dyDescent="0.3">
      <c r="A101" t="s">
        <v>224</v>
      </c>
      <c r="B101" s="1">
        <v>43923</v>
      </c>
      <c r="C101" t="s">
        <v>225</v>
      </c>
      <c r="D101" t="s">
        <v>15</v>
      </c>
      <c r="E101" t="s">
        <v>19</v>
      </c>
      <c r="F101">
        <v>16</v>
      </c>
      <c r="G101">
        <v>6464</v>
      </c>
      <c r="H101">
        <v>103425</v>
      </c>
      <c r="I101">
        <v>2026</v>
      </c>
    </row>
    <row r="102" spans="1:9" x14ac:dyDescent="0.3">
      <c r="A102" t="s">
        <v>226</v>
      </c>
      <c r="B102" s="1">
        <v>45364</v>
      </c>
      <c r="C102" t="s">
        <v>227</v>
      </c>
      <c r="D102" t="s">
        <v>46</v>
      </c>
      <c r="E102" t="s">
        <v>19</v>
      </c>
      <c r="F102">
        <v>36</v>
      </c>
      <c r="G102">
        <v>7248</v>
      </c>
      <c r="H102">
        <v>260927</v>
      </c>
      <c r="I102">
        <v>4527</v>
      </c>
    </row>
    <row r="103" spans="1:9" x14ac:dyDescent="0.3">
      <c r="A103" t="s">
        <v>228</v>
      </c>
      <c r="B103" s="1">
        <v>45006</v>
      </c>
      <c r="C103" t="s">
        <v>229</v>
      </c>
      <c r="D103" t="s">
        <v>54</v>
      </c>
      <c r="E103" t="s">
        <v>19</v>
      </c>
      <c r="F103">
        <v>47</v>
      </c>
      <c r="G103">
        <v>8063</v>
      </c>
      <c r="H103">
        <v>378981</v>
      </c>
      <c r="I103">
        <v>6388</v>
      </c>
    </row>
    <row r="104" spans="1:9" x14ac:dyDescent="0.3">
      <c r="A104" t="s">
        <v>230</v>
      </c>
      <c r="B104" s="1">
        <v>45353</v>
      </c>
      <c r="C104" t="s">
        <v>231</v>
      </c>
      <c r="D104" t="s">
        <v>32</v>
      </c>
      <c r="E104" t="s">
        <v>13</v>
      </c>
      <c r="F104">
        <v>28</v>
      </c>
      <c r="G104">
        <v>7074</v>
      </c>
      <c r="H104">
        <v>198064</v>
      </c>
      <c r="I104">
        <v>5176</v>
      </c>
    </row>
    <row r="105" spans="1:9" x14ac:dyDescent="0.3">
      <c r="A105" t="s">
        <v>232</v>
      </c>
      <c r="B105" s="1">
        <v>44954</v>
      </c>
      <c r="C105" t="s">
        <v>233</v>
      </c>
      <c r="D105" t="s">
        <v>69</v>
      </c>
      <c r="E105" t="s">
        <v>19</v>
      </c>
      <c r="F105">
        <v>62</v>
      </c>
      <c r="G105">
        <v>4033</v>
      </c>
      <c r="H105">
        <v>250060</v>
      </c>
      <c r="I105">
        <v>3210</v>
      </c>
    </row>
    <row r="106" spans="1:9" x14ac:dyDescent="0.3">
      <c r="A106" t="s">
        <v>234</v>
      </c>
      <c r="B106" s="1">
        <v>44385</v>
      </c>
      <c r="C106" t="s">
        <v>235</v>
      </c>
      <c r="D106" t="s">
        <v>22</v>
      </c>
      <c r="E106" t="s">
        <v>13</v>
      </c>
      <c r="F106">
        <v>42</v>
      </c>
      <c r="G106">
        <v>1098</v>
      </c>
      <c r="H106">
        <v>46110</v>
      </c>
      <c r="I106">
        <v>974</v>
      </c>
    </row>
    <row r="107" spans="1:9" x14ac:dyDescent="0.3">
      <c r="A107" t="s">
        <v>236</v>
      </c>
      <c r="B107" s="1">
        <v>44796</v>
      </c>
      <c r="C107" t="s">
        <v>237</v>
      </c>
      <c r="D107" t="s">
        <v>9</v>
      </c>
      <c r="E107" t="s">
        <v>13</v>
      </c>
      <c r="F107">
        <v>33</v>
      </c>
      <c r="G107">
        <v>4360</v>
      </c>
      <c r="H107">
        <v>143888</v>
      </c>
      <c r="I107">
        <v>2061</v>
      </c>
    </row>
    <row r="108" spans="1:9" x14ac:dyDescent="0.3">
      <c r="A108" t="s">
        <v>238</v>
      </c>
      <c r="B108" s="1">
        <v>44912</v>
      </c>
      <c r="C108" t="s">
        <v>239</v>
      </c>
      <c r="D108" t="s">
        <v>29</v>
      </c>
      <c r="E108" t="s">
        <v>7</v>
      </c>
      <c r="F108">
        <v>66</v>
      </c>
      <c r="G108">
        <v>1283</v>
      </c>
      <c r="H108">
        <v>84690</v>
      </c>
      <c r="I108">
        <v>2180</v>
      </c>
    </row>
    <row r="109" spans="1:9" x14ac:dyDescent="0.3">
      <c r="A109" t="s">
        <v>240</v>
      </c>
      <c r="B109" s="1">
        <v>44071</v>
      </c>
      <c r="C109" t="s">
        <v>241</v>
      </c>
      <c r="D109" t="s">
        <v>32</v>
      </c>
      <c r="E109" t="s">
        <v>19</v>
      </c>
      <c r="F109">
        <v>5</v>
      </c>
      <c r="G109">
        <v>1084</v>
      </c>
      <c r="H109">
        <v>5419</v>
      </c>
      <c r="I109">
        <v>254</v>
      </c>
    </row>
    <row r="110" spans="1:9" x14ac:dyDescent="0.3">
      <c r="A110" t="s">
        <v>242</v>
      </c>
      <c r="B110" s="1">
        <v>44100</v>
      </c>
      <c r="C110" t="s">
        <v>243</v>
      </c>
      <c r="D110" t="s">
        <v>36</v>
      </c>
      <c r="E110" t="s">
        <v>7</v>
      </c>
      <c r="F110">
        <v>19</v>
      </c>
      <c r="G110">
        <v>1526</v>
      </c>
      <c r="H110">
        <v>29001</v>
      </c>
      <c r="I110">
        <v>159</v>
      </c>
    </row>
    <row r="111" spans="1:9" x14ac:dyDescent="0.3">
      <c r="A111" t="s">
        <v>244</v>
      </c>
      <c r="B111" s="1">
        <v>44178</v>
      </c>
      <c r="C111" t="s">
        <v>245</v>
      </c>
      <c r="D111" t="s">
        <v>89</v>
      </c>
      <c r="E111" t="s">
        <v>13</v>
      </c>
      <c r="F111">
        <v>4</v>
      </c>
      <c r="G111">
        <v>9803</v>
      </c>
      <c r="H111">
        <v>39212</v>
      </c>
      <c r="I111">
        <v>4888</v>
      </c>
    </row>
    <row r="112" spans="1:9" x14ac:dyDescent="0.3">
      <c r="A112" t="s">
        <v>246</v>
      </c>
      <c r="B112" s="1">
        <v>45182</v>
      </c>
      <c r="C112" t="s">
        <v>247</v>
      </c>
      <c r="D112" t="s">
        <v>43</v>
      </c>
      <c r="E112" t="s">
        <v>13</v>
      </c>
      <c r="F112">
        <v>44</v>
      </c>
      <c r="G112">
        <v>3955</v>
      </c>
      <c r="H112">
        <v>174000</v>
      </c>
      <c r="I112">
        <v>3425</v>
      </c>
    </row>
    <row r="113" spans="1:9" x14ac:dyDescent="0.3">
      <c r="A113" t="s">
        <v>248</v>
      </c>
      <c r="B113" s="1">
        <v>44124</v>
      </c>
      <c r="C113" t="s">
        <v>249</v>
      </c>
      <c r="D113" t="s">
        <v>9</v>
      </c>
      <c r="E113" t="s">
        <v>13</v>
      </c>
      <c r="F113">
        <v>24</v>
      </c>
      <c r="G113">
        <v>5801</v>
      </c>
      <c r="H113">
        <v>139220</v>
      </c>
      <c r="I113">
        <v>6572</v>
      </c>
    </row>
    <row r="114" spans="1:9" x14ac:dyDescent="0.3">
      <c r="A114" t="s">
        <v>250</v>
      </c>
      <c r="B114" s="1">
        <v>45142</v>
      </c>
      <c r="C114" t="s">
        <v>251</v>
      </c>
      <c r="D114" t="s">
        <v>22</v>
      </c>
      <c r="E114" t="s">
        <v>13</v>
      </c>
      <c r="F114">
        <v>9</v>
      </c>
      <c r="G114">
        <v>950</v>
      </c>
      <c r="H114">
        <v>8554</v>
      </c>
      <c r="I114">
        <v>391</v>
      </c>
    </row>
    <row r="115" spans="1:9" x14ac:dyDescent="0.3">
      <c r="A115" t="s">
        <v>252</v>
      </c>
      <c r="B115" s="1">
        <v>44662</v>
      </c>
      <c r="C115" t="s">
        <v>253</v>
      </c>
      <c r="D115" t="s">
        <v>54</v>
      </c>
      <c r="E115" t="s">
        <v>13</v>
      </c>
      <c r="F115">
        <v>34</v>
      </c>
      <c r="G115">
        <v>4483</v>
      </c>
      <c r="H115">
        <v>152436</v>
      </c>
      <c r="I115">
        <v>2845</v>
      </c>
    </row>
    <row r="116" spans="1:9" x14ac:dyDescent="0.3">
      <c r="A116" t="s">
        <v>254</v>
      </c>
      <c r="B116" s="1">
        <v>44561</v>
      </c>
      <c r="C116" t="s">
        <v>255</v>
      </c>
      <c r="D116" t="s">
        <v>43</v>
      </c>
      <c r="E116" t="s">
        <v>7</v>
      </c>
      <c r="F116">
        <v>18</v>
      </c>
      <c r="G116">
        <v>2250</v>
      </c>
      <c r="H116">
        <v>40496</v>
      </c>
      <c r="I116">
        <v>593</v>
      </c>
    </row>
    <row r="117" spans="1:9" x14ac:dyDescent="0.3">
      <c r="A117" t="s">
        <v>256</v>
      </c>
      <c r="B117" s="1">
        <v>44059</v>
      </c>
      <c r="C117" t="s">
        <v>257</v>
      </c>
      <c r="D117" t="s">
        <v>18</v>
      </c>
      <c r="E117" t="s">
        <v>19</v>
      </c>
      <c r="F117">
        <v>1</v>
      </c>
      <c r="G117">
        <v>2315</v>
      </c>
      <c r="H117">
        <v>2315</v>
      </c>
      <c r="I117">
        <v>196</v>
      </c>
    </row>
    <row r="118" spans="1:9" x14ac:dyDescent="0.3">
      <c r="A118" t="s">
        <v>258</v>
      </c>
      <c r="B118" s="1">
        <v>45690</v>
      </c>
      <c r="C118" t="s">
        <v>259</v>
      </c>
      <c r="D118" t="s">
        <v>9</v>
      </c>
      <c r="E118" t="s">
        <v>13</v>
      </c>
      <c r="F118">
        <v>9</v>
      </c>
      <c r="G118">
        <v>3200</v>
      </c>
      <c r="H118">
        <v>28804</v>
      </c>
      <c r="I118">
        <v>571</v>
      </c>
    </row>
    <row r="119" spans="1:9" x14ac:dyDescent="0.3">
      <c r="A119" t="s">
        <v>260</v>
      </c>
      <c r="B119" s="1">
        <v>44616</v>
      </c>
      <c r="C119" t="s">
        <v>261</v>
      </c>
      <c r="D119" t="s">
        <v>34</v>
      </c>
      <c r="E119" t="s">
        <v>19</v>
      </c>
      <c r="F119">
        <v>16</v>
      </c>
      <c r="G119">
        <v>1857</v>
      </c>
      <c r="H119">
        <v>29706</v>
      </c>
      <c r="I119">
        <v>1133</v>
      </c>
    </row>
    <row r="120" spans="1:9" x14ac:dyDescent="0.3">
      <c r="A120" t="s">
        <v>262</v>
      </c>
      <c r="B120" s="1">
        <v>45347</v>
      </c>
      <c r="C120" t="s">
        <v>263</v>
      </c>
      <c r="D120" t="s">
        <v>8</v>
      </c>
      <c r="E120" t="s">
        <v>13</v>
      </c>
      <c r="F120">
        <v>72</v>
      </c>
      <c r="G120">
        <v>9781</v>
      </c>
      <c r="H120">
        <v>704262</v>
      </c>
      <c r="I120">
        <v>13974</v>
      </c>
    </row>
    <row r="121" spans="1:9" x14ac:dyDescent="0.3">
      <c r="A121" t="s">
        <v>264</v>
      </c>
      <c r="B121" s="1">
        <v>45269</v>
      </c>
      <c r="C121" t="s">
        <v>265</v>
      </c>
      <c r="D121" t="s">
        <v>69</v>
      </c>
      <c r="E121" t="s">
        <v>19</v>
      </c>
      <c r="F121">
        <v>36</v>
      </c>
      <c r="G121">
        <v>5401</v>
      </c>
      <c r="H121">
        <v>194438</v>
      </c>
      <c r="I121">
        <v>2846</v>
      </c>
    </row>
    <row r="122" spans="1:9" x14ac:dyDescent="0.3">
      <c r="A122" t="s">
        <v>266</v>
      </c>
      <c r="B122" s="1">
        <v>44758</v>
      </c>
      <c r="C122" t="s">
        <v>267</v>
      </c>
      <c r="D122" t="s">
        <v>60</v>
      </c>
      <c r="E122" t="s">
        <v>19</v>
      </c>
      <c r="F122">
        <v>14</v>
      </c>
      <c r="G122">
        <v>2706</v>
      </c>
      <c r="H122">
        <v>37883</v>
      </c>
      <c r="I122">
        <v>559</v>
      </c>
    </row>
    <row r="123" spans="1:9" x14ac:dyDescent="0.3">
      <c r="A123" t="s">
        <v>268</v>
      </c>
      <c r="B123" s="1">
        <v>45417</v>
      </c>
      <c r="C123" t="s">
        <v>269</v>
      </c>
      <c r="D123" t="s">
        <v>15</v>
      </c>
      <c r="E123" t="s">
        <v>19</v>
      </c>
      <c r="F123">
        <v>4</v>
      </c>
      <c r="G123">
        <v>8617</v>
      </c>
      <c r="H123">
        <v>34469</v>
      </c>
      <c r="I123">
        <v>937</v>
      </c>
    </row>
    <row r="124" spans="1:9" x14ac:dyDescent="0.3">
      <c r="A124" t="s">
        <v>270</v>
      </c>
      <c r="B124" s="1">
        <v>44473</v>
      </c>
      <c r="C124" t="s">
        <v>271</v>
      </c>
      <c r="D124" t="s">
        <v>9</v>
      </c>
      <c r="E124" t="s">
        <v>13</v>
      </c>
      <c r="F124">
        <v>4</v>
      </c>
      <c r="G124">
        <v>7765</v>
      </c>
      <c r="H124">
        <v>31061</v>
      </c>
      <c r="I124">
        <v>821</v>
      </c>
    </row>
    <row r="125" spans="1:9" x14ac:dyDescent="0.3">
      <c r="A125" t="s">
        <v>272</v>
      </c>
      <c r="B125" s="1">
        <v>44520</v>
      </c>
      <c r="C125" t="s">
        <v>273</v>
      </c>
      <c r="D125" t="s">
        <v>11</v>
      </c>
      <c r="E125" t="s">
        <v>13</v>
      </c>
      <c r="F125">
        <v>24</v>
      </c>
      <c r="G125">
        <v>1425</v>
      </c>
      <c r="H125">
        <v>34191</v>
      </c>
      <c r="I125">
        <v>727</v>
      </c>
    </row>
    <row r="126" spans="1:9" x14ac:dyDescent="0.3">
      <c r="A126" t="s">
        <v>274</v>
      </c>
      <c r="B126" s="1">
        <v>44089</v>
      </c>
      <c r="C126" t="s">
        <v>275</v>
      </c>
      <c r="D126" t="s">
        <v>36</v>
      </c>
      <c r="E126" t="s">
        <v>13</v>
      </c>
      <c r="F126">
        <v>45</v>
      </c>
      <c r="G126">
        <v>4350</v>
      </c>
      <c r="H126">
        <v>195755</v>
      </c>
      <c r="I126">
        <v>1537</v>
      </c>
    </row>
    <row r="127" spans="1:9" x14ac:dyDescent="0.3">
      <c r="A127" t="s">
        <v>276</v>
      </c>
      <c r="B127" s="1">
        <v>44943</v>
      </c>
      <c r="C127" t="s">
        <v>277</v>
      </c>
      <c r="D127" t="s">
        <v>32</v>
      </c>
      <c r="E127" t="s">
        <v>7</v>
      </c>
      <c r="F127">
        <v>40</v>
      </c>
      <c r="G127">
        <v>1242</v>
      </c>
      <c r="H127">
        <v>49668</v>
      </c>
      <c r="I127">
        <v>428</v>
      </c>
    </row>
    <row r="128" spans="1:9" x14ac:dyDescent="0.3">
      <c r="A128" t="s">
        <v>278</v>
      </c>
      <c r="B128" s="1">
        <v>45413</v>
      </c>
      <c r="C128" t="s">
        <v>279</v>
      </c>
      <c r="D128" t="s">
        <v>60</v>
      </c>
      <c r="E128" t="s">
        <v>13</v>
      </c>
      <c r="F128">
        <v>3</v>
      </c>
      <c r="G128">
        <v>7734</v>
      </c>
      <c r="H128">
        <v>23202</v>
      </c>
      <c r="I128">
        <v>2529</v>
      </c>
    </row>
    <row r="129" spans="1:9" x14ac:dyDescent="0.3">
      <c r="A129" t="s">
        <v>280</v>
      </c>
      <c r="B129" s="1">
        <v>45267</v>
      </c>
      <c r="C129" t="s">
        <v>281</v>
      </c>
      <c r="D129" t="s">
        <v>43</v>
      </c>
      <c r="E129" t="s">
        <v>7</v>
      </c>
      <c r="F129">
        <v>29</v>
      </c>
      <c r="G129">
        <v>7348</v>
      </c>
      <c r="H129">
        <v>213088</v>
      </c>
      <c r="I129">
        <v>4132</v>
      </c>
    </row>
    <row r="130" spans="1:9" x14ac:dyDescent="0.3">
      <c r="A130" t="s">
        <v>282</v>
      </c>
      <c r="B130" s="1">
        <v>45324</v>
      </c>
      <c r="C130" t="s">
        <v>283</v>
      </c>
      <c r="D130" t="s">
        <v>49</v>
      </c>
      <c r="E130" t="s">
        <v>19</v>
      </c>
      <c r="F130">
        <v>14</v>
      </c>
      <c r="G130">
        <v>4246</v>
      </c>
      <c r="H130">
        <v>59442</v>
      </c>
      <c r="I130">
        <v>432</v>
      </c>
    </row>
    <row r="131" spans="1:9" x14ac:dyDescent="0.3">
      <c r="A131" t="s">
        <v>284</v>
      </c>
      <c r="B131" s="1">
        <v>45466</v>
      </c>
      <c r="C131" t="s">
        <v>285</v>
      </c>
      <c r="D131" t="s">
        <v>36</v>
      </c>
      <c r="E131" t="s">
        <v>13</v>
      </c>
      <c r="F131">
        <v>57</v>
      </c>
      <c r="G131">
        <v>3656</v>
      </c>
      <c r="H131">
        <v>208419</v>
      </c>
      <c r="I131">
        <v>4611</v>
      </c>
    </row>
    <row r="132" spans="1:9" x14ac:dyDescent="0.3">
      <c r="A132" t="s">
        <v>286</v>
      </c>
      <c r="B132" s="1">
        <v>45450</v>
      </c>
      <c r="C132" t="s">
        <v>287</v>
      </c>
      <c r="D132" t="s">
        <v>11</v>
      </c>
      <c r="E132" t="s">
        <v>7</v>
      </c>
      <c r="F132">
        <v>4</v>
      </c>
      <c r="G132">
        <v>7727</v>
      </c>
      <c r="H132">
        <v>30908</v>
      </c>
      <c r="I132">
        <v>1576</v>
      </c>
    </row>
    <row r="133" spans="1:9" x14ac:dyDescent="0.3">
      <c r="A133" t="s">
        <v>288</v>
      </c>
      <c r="B133" s="1">
        <v>45212</v>
      </c>
      <c r="C133" t="s">
        <v>289</v>
      </c>
      <c r="D133" t="s">
        <v>32</v>
      </c>
      <c r="E133" t="s">
        <v>19</v>
      </c>
      <c r="F133">
        <v>6</v>
      </c>
      <c r="G133">
        <v>5661</v>
      </c>
      <c r="H133">
        <v>33964</v>
      </c>
      <c r="I133">
        <v>1380</v>
      </c>
    </row>
    <row r="134" spans="1:9" x14ac:dyDescent="0.3">
      <c r="A134" t="s">
        <v>290</v>
      </c>
      <c r="B134" s="1">
        <v>45226</v>
      </c>
      <c r="C134" t="s">
        <v>291</v>
      </c>
      <c r="D134" t="s">
        <v>34</v>
      </c>
      <c r="E134" t="s">
        <v>19</v>
      </c>
      <c r="F134">
        <v>138</v>
      </c>
      <c r="G134">
        <v>5542</v>
      </c>
      <c r="H134">
        <v>764799</v>
      </c>
      <c r="I134">
        <v>16785</v>
      </c>
    </row>
    <row r="135" spans="1:9" x14ac:dyDescent="0.3">
      <c r="A135" t="s">
        <v>292</v>
      </c>
      <c r="B135" s="1">
        <v>44138</v>
      </c>
      <c r="C135" t="s">
        <v>293</v>
      </c>
      <c r="D135" t="s">
        <v>9</v>
      </c>
      <c r="E135" t="s">
        <v>13</v>
      </c>
      <c r="F135">
        <v>20</v>
      </c>
      <c r="G135">
        <v>8868</v>
      </c>
      <c r="H135">
        <v>177369</v>
      </c>
      <c r="I135">
        <v>1989</v>
      </c>
    </row>
    <row r="136" spans="1:9" x14ac:dyDescent="0.3">
      <c r="A136" t="s">
        <v>294</v>
      </c>
      <c r="B136" s="1">
        <v>44711</v>
      </c>
      <c r="C136" t="s">
        <v>295</v>
      </c>
      <c r="D136" t="s">
        <v>15</v>
      </c>
      <c r="E136" t="s">
        <v>19</v>
      </c>
      <c r="F136">
        <v>43</v>
      </c>
      <c r="G136">
        <v>8678</v>
      </c>
      <c r="H136">
        <v>373159</v>
      </c>
      <c r="I136">
        <v>5972</v>
      </c>
    </row>
    <row r="137" spans="1:9" x14ac:dyDescent="0.3">
      <c r="A137" t="s">
        <v>296</v>
      </c>
      <c r="B137" s="1">
        <v>45459</v>
      </c>
      <c r="C137" t="s">
        <v>297</v>
      </c>
      <c r="D137" t="s">
        <v>15</v>
      </c>
      <c r="E137" t="s">
        <v>19</v>
      </c>
      <c r="F137">
        <v>50</v>
      </c>
      <c r="G137">
        <v>7452</v>
      </c>
      <c r="H137">
        <v>372604</v>
      </c>
      <c r="I137">
        <v>7790</v>
      </c>
    </row>
    <row r="138" spans="1:9" x14ac:dyDescent="0.3">
      <c r="A138" t="s">
        <v>298</v>
      </c>
      <c r="B138" s="1">
        <v>44757</v>
      </c>
      <c r="C138" t="s">
        <v>299</v>
      </c>
      <c r="D138" t="s">
        <v>54</v>
      </c>
      <c r="E138" t="s">
        <v>13</v>
      </c>
      <c r="F138">
        <v>30</v>
      </c>
      <c r="G138">
        <v>2927</v>
      </c>
      <c r="H138">
        <v>87818</v>
      </c>
      <c r="I138">
        <v>434</v>
      </c>
    </row>
    <row r="139" spans="1:9" x14ac:dyDescent="0.3">
      <c r="A139" t="s">
        <v>300</v>
      </c>
      <c r="B139" s="1">
        <v>44471</v>
      </c>
      <c r="C139" t="s">
        <v>301</v>
      </c>
      <c r="D139" t="s">
        <v>77</v>
      </c>
      <c r="E139" t="s">
        <v>13</v>
      </c>
      <c r="F139">
        <v>34</v>
      </c>
      <c r="G139">
        <v>9942</v>
      </c>
      <c r="H139">
        <v>338036</v>
      </c>
      <c r="I139">
        <v>1266</v>
      </c>
    </row>
    <row r="140" spans="1:9" x14ac:dyDescent="0.3">
      <c r="A140" t="s">
        <v>302</v>
      </c>
      <c r="B140" s="1">
        <v>45398</v>
      </c>
      <c r="C140" t="s">
        <v>303</v>
      </c>
      <c r="D140" t="s">
        <v>29</v>
      </c>
      <c r="E140" t="s">
        <v>13</v>
      </c>
      <c r="F140">
        <v>10</v>
      </c>
      <c r="G140">
        <v>3447</v>
      </c>
      <c r="H140">
        <v>34470</v>
      </c>
      <c r="I140">
        <v>2184</v>
      </c>
    </row>
    <row r="141" spans="1:9" x14ac:dyDescent="0.3">
      <c r="A141" t="s">
        <v>304</v>
      </c>
      <c r="B141" s="1">
        <v>45315</v>
      </c>
      <c r="C141" t="s">
        <v>305</v>
      </c>
      <c r="D141" t="s">
        <v>89</v>
      </c>
      <c r="E141" t="s">
        <v>7</v>
      </c>
      <c r="F141">
        <v>20</v>
      </c>
      <c r="G141">
        <v>3624</v>
      </c>
      <c r="H141">
        <v>72480</v>
      </c>
      <c r="I141">
        <v>4020</v>
      </c>
    </row>
    <row r="142" spans="1:9" x14ac:dyDescent="0.3">
      <c r="A142" t="s">
        <v>306</v>
      </c>
      <c r="B142" s="1">
        <v>45206</v>
      </c>
      <c r="C142" t="s">
        <v>307</v>
      </c>
      <c r="D142" t="s">
        <v>29</v>
      </c>
      <c r="E142" t="s">
        <v>19</v>
      </c>
      <c r="F142">
        <v>9</v>
      </c>
      <c r="G142">
        <v>3913</v>
      </c>
      <c r="H142">
        <v>35215</v>
      </c>
      <c r="I142">
        <v>115</v>
      </c>
    </row>
    <row r="143" spans="1:9" x14ac:dyDescent="0.3">
      <c r="A143" t="s">
        <v>308</v>
      </c>
      <c r="B143" s="1">
        <v>44492</v>
      </c>
      <c r="C143" t="s">
        <v>309</v>
      </c>
      <c r="D143" t="s">
        <v>32</v>
      </c>
      <c r="E143" t="s">
        <v>13</v>
      </c>
      <c r="F143">
        <v>17</v>
      </c>
      <c r="G143">
        <v>6849</v>
      </c>
      <c r="H143">
        <v>116436</v>
      </c>
      <c r="I143">
        <v>2490</v>
      </c>
    </row>
    <row r="144" spans="1:9" x14ac:dyDescent="0.3">
      <c r="A144" t="s">
        <v>310</v>
      </c>
      <c r="B144" s="1">
        <v>44760</v>
      </c>
      <c r="C144" t="s">
        <v>311</v>
      </c>
      <c r="D144" t="s">
        <v>34</v>
      </c>
      <c r="E144" t="s">
        <v>7</v>
      </c>
      <c r="F144">
        <v>19</v>
      </c>
      <c r="G144">
        <v>7839</v>
      </c>
      <c r="H144">
        <v>148937</v>
      </c>
      <c r="I144">
        <v>3720</v>
      </c>
    </row>
    <row r="145" spans="1:9" x14ac:dyDescent="0.3">
      <c r="A145" t="s">
        <v>312</v>
      </c>
      <c r="B145" s="1">
        <v>45527</v>
      </c>
      <c r="C145" t="s">
        <v>313</v>
      </c>
      <c r="D145" t="s">
        <v>9</v>
      </c>
      <c r="E145" t="s">
        <v>13</v>
      </c>
      <c r="F145">
        <v>31</v>
      </c>
      <c r="G145">
        <v>4166</v>
      </c>
      <c r="H145">
        <v>129161</v>
      </c>
      <c r="I145">
        <v>4432</v>
      </c>
    </row>
    <row r="146" spans="1:9" x14ac:dyDescent="0.3">
      <c r="A146" t="s">
        <v>314</v>
      </c>
      <c r="B146" s="1">
        <v>44132</v>
      </c>
      <c r="C146" t="s">
        <v>315</v>
      </c>
      <c r="D146" t="s">
        <v>9</v>
      </c>
      <c r="E146" t="s">
        <v>13</v>
      </c>
      <c r="F146">
        <v>20</v>
      </c>
      <c r="G146">
        <v>6038</v>
      </c>
      <c r="H146">
        <v>120751</v>
      </c>
      <c r="I146">
        <v>431</v>
      </c>
    </row>
    <row r="147" spans="1:9" x14ac:dyDescent="0.3">
      <c r="A147" t="s">
        <v>316</v>
      </c>
      <c r="B147" s="1">
        <v>45645</v>
      </c>
      <c r="C147" t="s">
        <v>317</v>
      </c>
      <c r="D147" t="s">
        <v>46</v>
      </c>
      <c r="E147" t="s">
        <v>13</v>
      </c>
      <c r="F147">
        <v>24</v>
      </c>
      <c r="G147">
        <v>1307</v>
      </c>
      <c r="H147">
        <v>31368</v>
      </c>
      <c r="I147">
        <v>408</v>
      </c>
    </row>
    <row r="148" spans="1:9" x14ac:dyDescent="0.3">
      <c r="A148" t="s">
        <v>318</v>
      </c>
      <c r="B148" s="1">
        <v>44078</v>
      </c>
      <c r="C148" t="s">
        <v>319</v>
      </c>
      <c r="D148" t="s">
        <v>29</v>
      </c>
      <c r="E148" t="s">
        <v>7</v>
      </c>
      <c r="F148">
        <v>10</v>
      </c>
      <c r="G148">
        <v>4738</v>
      </c>
      <c r="H148">
        <v>47383</v>
      </c>
      <c r="I148">
        <v>1693</v>
      </c>
    </row>
    <row r="149" spans="1:9" x14ac:dyDescent="0.3">
      <c r="A149" t="s">
        <v>320</v>
      </c>
      <c r="B149" s="1">
        <v>44667</v>
      </c>
      <c r="C149" t="s">
        <v>321</v>
      </c>
      <c r="D149" t="s">
        <v>15</v>
      </c>
      <c r="E149" t="s">
        <v>19</v>
      </c>
      <c r="F149">
        <v>16</v>
      </c>
      <c r="G149">
        <v>3155</v>
      </c>
      <c r="H149">
        <v>50479</v>
      </c>
      <c r="I149">
        <v>1151</v>
      </c>
    </row>
    <row r="150" spans="1:9" x14ac:dyDescent="0.3">
      <c r="A150" t="s">
        <v>322</v>
      </c>
      <c r="B150" s="1">
        <v>45533</v>
      </c>
      <c r="C150" t="s">
        <v>323</v>
      </c>
      <c r="D150" t="s">
        <v>18</v>
      </c>
      <c r="E150" t="s">
        <v>13</v>
      </c>
      <c r="F150">
        <v>30</v>
      </c>
      <c r="G150">
        <v>3582</v>
      </c>
      <c r="H150">
        <v>107456</v>
      </c>
      <c r="I150">
        <v>1796</v>
      </c>
    </row>
    <row r="151" spans="1:9" x14ac:dyDescent="0.3">
      <c r="A151" t="s">
        <v>324</v>
      </c>
      <c r="B151" s="1">
        <v>45389</v>
      </c>
      <c r="C151" t="s">
        <v>325</v>
      </c>
      <c r="D151" t="s">
        <v>69</v>
      </c>
      <c r="E151" t="s">
        <v>13</v>
      </c>
      <c r="F151">
        <v>3</v>
      </c>
      <c r="G151">
        <v>8502</v>
      </c>
      <c r="H151">
        <v>25505</v>
      </c>
      <c r="I151">
        <v>3602</v>
      </c>
    </row>
    <row r="152" spans="1:9" x14ac:dyDescent="0.3">
      <c r="A152" t="s">
        <v>326</v>
      </c>
      <c r="B152" s="1">
        <v>44675</v>
      </c>
      <c r="C152" t="s">
        <v>327</v>
      </c>
      <c r="D152" t="s">
        <v>29</v>
      </c>
      <c r="E152" t="s">
        <v>7</v>
      </c>
      <c r="F152">
        <v>25</v>
      </c>
      <c r="G152">
        <v>5732</v>
      </c>
      <c r="H152">
        <v>143302</v>
      </c>
      <c r="I152">
        <v>2002</v>
      </c>
    </row>
    <row r="153" spans="1:9" x14ac:dyDescent="0.3">
      <c r="A153" t="s">
        <v>328</v>
      </c>
      <c r="B153" s="1">
        <v>44070</v>
      </c>
      <c r="C153" t="s">
        <v>329</v>
      </c>
      <c r="D153" t="s">
        <v>77</v>
      </c>
      <c r="E153" t="s">
        <v>19</v>
      </c>
      <c r="F153">
        <v>3</v>
      </c>
      <c r="G153">
        <v>4489</v>
      </c>
      <c r="H153">
        <v>13467</v>
      </c>
      <c r="I153">
        <v>1386</v>
      </c>
    </row>
    <row r="154" spans="1:9" x14ac:dyDescent="0.3">
      <c r="A154" t="s">
        <v>330</v>
      </c>
      <c r="B154" s="1">
        <v>44986</v>
      </c>
      <c r="C154" t="s">
        <v>331</v>
      </c>
      <c r="D154" t="s">
        <v>60</v>
      </c>
      <c r="E154" t="s">
        <v>19</v>
      </c>
      <c r="F154">
        <v>35</v>
      </c>
      <c r="G154">
        <v>2798</v>
      </c>
      <c r="H154">
        <v>97922</v>
      </c>
      <c r="I154">
        <v>2350</v>
      </c>
    </row>
    <row r="155" spans="1:9" x14ac:dyDescent="0.3">
      <c r="A155" t="s">
        <v>332</v>
      </c>
      <c r="B155" s="1">
        <v>45159</v>
      </c>
      <c r="C155" t="s">
        <v>333</v>
      </c>
      <c r="D155" t="s">
        <v>49</v>
      </c>
      <c r="E155" t="s">
        <v>19</v>
      </c>
      <c r="F155">
        <v>36</v>
      </c>
      <c r="G155">
        <v>7780</v>
      </c>
      <c r="H155">
        <v>280095</v>
      </c>
      <c r="I155">
        <v>3471</v>
      </c>
    </row>
    <row r="156" spans="1:9" x14ac:dyDescent="0.3">
      <c r="A156" t="s">
        <v>334</v>
      </c>
      <c r="B156" s="1">
        <v>44758</v>
      </c>
      <c r="C156" t="s">
        <v>335</v>
      </c>
      <c r="D156" t="s">
        <v>8</v>
      </c>
      <c r="E156" t="s">
        <v>7</v>
      </c>
      <c r="F156">
        <v>17</v>
      </c>
      <c r="G156">
        <v>6155</v>
      </c>
      <c r="H156">
        <v>104634</v>
      </c>
      <c r="I156">
        <v>2498</v>
      </c>
    </row>
    <row r="157" spans="1:9" x14ac:dyDescent="0.3">
      <c r="A157" t="s">
        <v>336</v>
      </c>
      <c r="B157" s="1">
        <v>44774</v>
      </c>
      <c r="C157" t="s">
        <v>337</v>
      </c>
      <c r="D157" t="s">
        <v>34</v>
      </c>
      <c r="E157" t="s">
        <v>19</v>
      </c>
      <c r="F157">
        <v>20</v>
      </c>
      <c r="G157">
        <v>7474</v>
      </c>
      <c r="H157">
        <v>149478</v>
      </c>
      <c r="I157">
        <v>2598</v>
      </c>
    </row>
    <row r="158" spans="1:9" x14ac:dyDescent="0.3">
      <c r="A158" t="s">
        <v>338</v>
      </c>
      <c r="B158" s="1">
        <v>44028</v>
      </c>
      <c r="C158" t="s">
        <v>339</v>
      </c>
      <c r="D158" t="s">
        <v>15</v>
      </c>
      <c r="E158" t="s">
        <v>13</v>
      </c>
      <c r="F158">
        <v>20</v>
      </c>
      <c r="G158">
        <v>7093</v>
      </c>
      <c r="H158">
        <v>141858</v>
      </c>
      <c r="I158">
        <v>3218</v>
      </c>
    </row>
    <row r="159" spans="1:9" x14ac:dyDescent="0.3">
      <c r="A159" t="s">
        <v>340</v>
      </c>
      <c r="B159" s="1">
        <v>43953</v>
      </c>
      <c r="C159" t="s">
        <v>341</v>
      </c>
      <c r="D159" t="s">
        <v>54</v>
      </c>
      <c r="E159" t="s">
        <v>13</v>
      </c>
      <c r="F159">
        <v>42</v>
      </c>
      <c r="G159">
        <v>6240</v>
      </c>
      <c r="H159">
        <v>262073</v>
      </c>
      <c r="I159">
        <v>4533</v>
      </c>
    </row>
    <row r="160" spans="1:9" x14ac:dyDescent="0.3">
      <c r="A160" t="s">
        <v>342</v>
      </c>
      <c r="B160" s="1">
        <v>45301</v>
      </c>
      <c r="C160" t="s">
        <v>343</v>
      </c>
      <c r="D160" t="s">
        <v>46</v>
      </c>
      <c r="E160" t="s">
        <v>7</v>
      </c>
      <c r="F160">
        <v>26</v>
      </c>
      <c r="G160">
        <v>8851</v>
      </c>
      <c r="H160">
        <v>230136</v>
      </c>
      <c r="I160">
        <v>5262</v>
      </c>
    </row>
    <row r="161" spans="1:9" x14ac:dyDescent="0.3">
      <c r="A161" t="s">
        <v>344</v>
      </c>
      <c r="B161" s="1">
        <v>44648</v>
      </c>
      <c r="C161" t="s">
        <v>345</v>
      </c>
      <c r="D161" t="s">
        <v>22</v>
      </c>
      <c r="E161" t="s">
        <v>7</v>
      </c>
      <c r="F161">
        <v>18</v>
      </c>
      <c r="G161">
        <v>4102</v>
      </c>
      <c r="H161">
        <v>73834</v>
      </c>
      <c r="I161">
        <v>52</v>
      </c>
    </row>
    <row r="162" spans="1:9" x14ac:dyDescent="0.3">
      <c r="A162" t="s">
        <v>346</v>
      </c>
      <c r="B162" s="1">
        <v>44226</v>
      </c>
      <c r="C162" t="s">
        <v>347</v>
      </c>
      <c r="D162" t="s">
        <v>46</v>
      </c>
      <c r="E162" t="s">
        <v>7</v>
      </c>
      <c r="F162">
        <v>5</v>
      </c>
      <c r="G162">
        <v>2604</v>
      </c>
      <c r="H162">
        <v>13019</v>
      </c>
      <c r="I162">
        <v>324</v>
      </c>
    </row>
    <row r="163" spans="1:9" x14ac:dyDescent="0.3">
      <c r="A163" t="s">
        <v>348</v>
      </c>
      <c r="B163" s="1">
        <v>45730</v>
      </c>
      <c r="C163" t="s">
        <v>349</v>
      </c>
      <c r="D163" t="s">
        <v>15</v>
      </c>
      <c r="E163" t="s">
        <v>13</v>
      </c>
      <c r="F163">
        <v>9</v>
      </c>
      <c r="G163">
        <v>10185</v>
      </c>
      <c r="H163">
        <v>91667</v>
      </c>
      <c r="I163">
        <v>3062</v>
      </c>
    </row>
    <row r="164" spans="1:9" x14ac:dyDescent="0.3">
      <c r="A164" t="s">
        <v>350</v>
      </c>
      <c r="B164" s="1">
        <v>44937</v>
      </c>
      <c r="C164" t="s">
        <v>351</v>
      </c>
      <c r="D164" t="s">
        <v>18</v>
      </c>
      <c r="E164" t="s">
        <v>13</v>
      </c>
      <c r="F164">
        <v>16</v>
      </c>
      <c r="G164">
        <v>6246</v>
      </c>
      <c r="H164">
        <v>99938</v>
      </c>
      <c r="I164">
        <v>5126</v>
      </c>
    </row>
    <row r="165" spans="1:9" x14ac:dyDescent="0.3">
      <c r="A165" t="s">
        <v>352</v>
      </c>
      <c r="B165" s="1">
        <v>44500</v>
      </c>
      <c r="C165" t="s">
        <v>353</v>
      </c>
      <c r="D165" t="s">
        <v>89</v>
      </c>
      <c r="E165" t="s">
        <v>19</v>
      </c>
      <c r="F165">
        <v>2</v>
      </c>
      <c r="G165">
        <v>10943</v>
      </c>
      <c r="H165">
        <v>21886</v>
      </c>
      <c r="I165">
        <v>2606</v>
      </c>
    </row>
    <row r="166" spans="1:9" x14ac:dyDescent="0.3">
      <c r="A166" t="s">
        <v>354</v>
      </c>
      <c r="B166" s="1">
        <v>45513</v>
      </c>
      <c r="C166" t="s">
        <v>355</v>
      </c>
      <c r="D166" t="s">
        <v>29</v>
      </c>
      <c r="E166" t="s">
        <v>19</v>
      </c>
      <c r="F166">
        <v>26</v>
      </c>
      <c r="G166">
        <v>8082</v>
      </c>
      <c r="H166">
        <v>210142</v>
      </c>
      <c r="I166">
        <v>3962</v>
      </c>
    </row>
    <row r="167" spans="1:9" x14ac:dyDescent="0.3">
      <c r="A167" t="s">
        <v>356</v>
      </c>
      <c r="B167" s="1">
        <v>44794</v>
      </c>
      <c r="C167" t="s">
        <v>357</v>
      </c>
      <c r="D167" t="s">
        <v>36</v>
      </c>
      <c r="E167" t="s">
        <v>13</v>
      </c>
      <c r="F167">
        <v>5</v>
      </c>
      <c r="G167">
        <v>6219</v>
      </c>
      <c r="H167">
        <v>31094</v>
      </c>
      <c r="I167">
        <v>3064</v>
      </c>
    </row>
    <row r="168" spans="1:9" x14ac:dyDescent="0.3">
      <c r="A168" t="s">
        <v>358</v>
      </c>
      <c r="B168" s="1">
        <v>44731</v>
      </c>
      <c r="C168" t="s">
        <v>359</v>
      </c>
      <c r="D168" t="s">
        <v>11</v>
      </c>
      <c r="E168" t="s">
        <v>19</v>
      </c>
      <c r="F168">
        <v>40</v>
      </c>
      <c r="G168">
        <v>2730</v>
      </c>
      <c r="H168">
        <v>109215</v>
      </c>
      <c r="I168">
        <v>375</v>
      </c>
    </row>
    <row r="169" spans="1:9" x14ac:dyDescent="0.3">
      <c r="A169" t="s">
        <v>360</v>
      </c>
      <c r="B169" s="1">
        <v>45686</v>
      </c>
      <c r="C169" t="s">
        <v>361</v>
      </c>
      <c r="D169" t="s">
        <v>89</v>
      </c>
      <c r="E169" t="s">
        <v>13</v>
      </c>
      <c r="F169">
        <v>17</v>
      </c>
      <c r="G169">
        <v>9576</v>
      </c>
      <c r="H169">
        <v>162784</v>
      </c>
      <c r="I169">
        <v>6067</v>
      </c>
    </row>
    <row r="170" spans="1:9" x14ac:dyDescent="0.3">
      <c r="A170" t="s">
        <v>362</v>
      </c>
      <c r="B170" s="1">
        <v>44575</v>
      </c>
      <c r="C170" t="s">
        <v>363</v>
      </c>
      <c r="D170" t="s">
        <v>11</v>
      </c>
      <c r="E170" t="s">
        <v>13</v>
      </c>
      <c r="F170">
        <v>35</v>
      </c>
      <c r="G170">
        <v>5049</v>
      </c>
      <c r="H170">
        <v>176723</v>
      </c>
      <c r="I170">
        <v>5162</v>
      </c>
    </row>
    <row r="171" spans="1:9" x14ac:dyDescent="0.3">
      <c r="A171" t="s">
        <v>364</v>
      </c>
      <c r="B171" s="1">
        <v>45092</v>
      </c>
      <c r="C171" t="s">
        <v>365</v>
      </c>
      <c r="D171" t="s">
        <v>54</v>
      </c>
      <c r="E171" t="s">
        <v>7</v>
      </c>
      <c r="F171">
        <v>19</v>
      </c>
      <c r="G171">
        <v>7756</v>
      </c>
      <c r="H171">
        <v>147369</v>
      </c>
      <c r="I171">
        <v>1753</v>
      </c>
    </row>
    <row r="172" spans="1:9" x14ac:dyDescent="0.3">
      <c r="A172" t="s">
        <v>366</v>
      </c>
      <c r="B172" s="1">
        <v>45217</v>
      </c>
      <c r="C172" t="s">
        <v>367</v>
      </c>
      <c r="D172" t="s">
        <v>89</v>
      </c>
      <c r="E172" t="s">
        <v>19</v>
      </c>
      <c r="F172">
        <v>90</v>
      </c>
      <c r="G172">
        <v>5231</v>
      </c>
      <c r="H172">
        <v>470810</v>
      </c>
      <c r="I172">
        <v>10668</v>
      </c>
    </row>
    <row r="173" spans="1:9" x14ac:dyDescent="0.3">
      <c r="A173" t="s">
        <v>368</v>
      </c>
      <c r="B173" s="1">
        <v>45455</v>
      </c>
      <c r="C173" t="s">
        <v>369</v>
      </c>
      <c r="D173" t="s">
        <v>46</v>
      </c>
      <c r="E173" t="s">
        <v>13</v>
      </c>
      <c r="F173">
        <v>48</v>
      </c>
      <c r="G173">
        <v>5533</v>
      </c>
      <c r="H173">
        <v>265565</v>
      </c>
      <c r="I173">
        <v>5787</v>
      </c>
    </row>
    <row r="174" spans="1:9" x14ac:dyDescent="0.3">
      <c r="A174" t="s">
        <v>370</v>
      </c>
      <c r="B174" s="1">
        <v>44739</v>
      </c>
      <c r="C174" t="s">
        <v>371</v>
      </c>
      <c r="D174" t="s">
        <v>46</v>
      </c>
      <c r="E174" t="s">
        <v>13</v>
      </c>
      <c r="F174">
        <v>21</v>
      </c>
      <c r="G174">
        <v>3670</v>
      </c>
      <c r="H174">
        <v>77070</v>
      </c>
      <c r="I174">
        <v>5176</v>
      </c>
    </row>
    <row r="175" spans="1:9" x14ac:dyDescent="0.3">
      <c r="A175" t="s">
        <v>372</v>
      </c>
      <c r="B175" s="1">
        <v>44245</v>
      </c>
      <c r="C175" t="s">
        <v>373</v>
      </c>
      <c r="D175" t="s">
        <v>46</v>
      </c>
      <c r="E175" t="s">
        <v>13</v>
      </c>
      <c r="F175">
        <v>36</v>
      </c>
      <c r="G175">
        <v>5322</v>
      </c>
      <c r="H175">
        <v>191576</v>
      </c>
      <c r="I175">
        <v>4421</v>
      </c>
    </row>
    <row r="176" spans="1:9" x14ac:dyDescent="0.3">
      <c r="A176" t="s">
        <v>374</v>
      </c>
      <c r="B176" s="1">
        <v>45075</v>
      </c>
      <c r="C176" t="s">
        <v>375</v>
      </c>
      <c r="D176" t="s">
        <v>32</v>
      </c>
      <c r="E176" t="s">
        <v>13</v>
      </c>
      <c r="F176">
        <v>30</v>
      </c>
      <c r="G176">
        <v>890</v>
      </c>
      <c r="H176">
        <v>26690</v>
      </c>
      <c r="I176">
        <v>470</v>
      </c>
    </row>
    <row r="177" spans="1:9" x14ac:dyDescent="0.3">
      <c r="A177" t="s">
        <v>376</v>
      </c>
      <c r="B177" s="1">
        <v>45313</v>
      </c>
      <c r="C177" t="s">
        <v>377</v>
      </c>
      <c r="D177" t="s">
        <v>46</v>
      </c>
      <c r="E177" t="s">
        <v>13</v>
      </c>
      <c r="F177">
        <v>84</v>
      </c>
      <c r="G177">
        <v>1813</v>
      </c>
      <c r="H177">
        <v>152294</v>
      </c>
      <c r="I177">
        <v>1694</v>
      </c>
    </row>
    <row r="178" spans="1:9" x14ac:dyDescent="0.3">
      <c r="A178" t="s">
        <v>378</v>
      </c>
      <c r="B178" s="1">
        <v>45381</v>
      </c>
      <c r="C178" t="s">
        <v>379</v>
      </c>
      <c r="D178" t="s">
        <v>54</v>
      </c>
      <c r="E178" t="s">
        <v>7</v>
      </c>
      <c r="F178">
        <v>16</v>
      </c>
      <c r="G178">
        <v>3278</v>
      </c>
      <c r="H178">
        <v>52453</v>
      </c>
      <c r="I178">
        <v>85</v>
      </c>
    </row>
    <row r="179" spans="1:9" x14ac:dyDescent="0.3">
      <c r="A179" t="s">
        <v>380</v>
      </c>
      <c r="B179" s="1">
        <v>43925</v>
      </c>
      <c r="C179" t="s">
        <v>381</v>
      </c>
      <c r="D179" t="s">
        <v>8</v>
      </c>
      <c r="E179" t="s">
        <v>19</v>
      </c>
      <c r="F179">
        <v>28</v>
      </c>
      <c r="G179">
        <v>8290</v>
      </c>
      <c r="H179">
        <v>232110</v>
      </c>
      <c r="I179">
        <v>6514</v>
      </c>
    </row>
    <row r="180" spans="1:9" x14ac:dyDescent="0.3">
      <c r="A180" t="s">
        <v>382</v>
      </c>
      <c r="B180" s="1">
        <v>45273</v>
      </c>
      <c r="C180" t="s">
        <v>383</v>
      </c>
      <c r="D180" t="s">
        <v>8</v>
      </c>
      <c r="E180" t="s">
        <v>7</v>
      </c>
      <c r="F180">
        <v>78</v>
      </c>
      <c r="G180">
        <v>4710</v>
      </c>
      <c r="H180">
        <v>367350</v>
      </c>
      <c r="I180">
        <v>5853</v>
      </c>
    </row>
    <row r="181" spans="1:9" x14ac:dyDescent="0.3">
      <c r="A181" t="s">
        <v>384</v>
      </c>
      <c r="B181" s="1">
        <v>45070</v>
      </c>
      <c r="C181" t="s">
        <v>385</v>
      </c>
      <c r="D181" t="s">
        <v>69</v>
      </c>
      <c r="E181" t="s">
        <v>7</v>
      </c>
      <c r="F181">
        <v>36</v>
      </c>
      <c r="G181">
        <v>6576</v>
      </c>
      <c r="H181">
        <v>236750</v>
      </c>
      <c r="I181">
        <v>3182</v>
      </c>
    </row>
    <row r="182" spans="1:9" x14ac:dyDescent="0.3">
      <c r="A182" t="s">
        <v>386</v>
      </c>
      <c r="B182" s="1">
        <v>44279</v>
      </c>
      <c r="C182" t="s">
        <v>387</v>
      </c>
      <c r="D182" t="s">
        <v>15</v>
      </c>
      <c r="E182" t="s">
        <v>13</v>
      </c>
      <c r="F182">
        <v>20</v>
      </c>
      <c r="G182">
        <v>7040</v>
      </c>
      <c r="H182">
        <v>140797</v>
      </c>
      <c r="I182">
        <v>3750</v>
      </c>
    </row>
    <row r="183" spans="1:9" x14ac:dyDescent="0.3">
      <c r="A183" t="s">
        <v>388</v>
      </c>
      <c r="B183" s="1">
        <v>44854</v>
      </c>
      <c r="C183" t="s">
        <v>389</v>
      </c>
      <c r="D183" t="s">
        <v>36</v>
      </c>
      <c r="E183" t="s">
        <v>13</v>
      </c>
      <c r="F183">
        <v>40</v>
      </c>
      <c r="G183">
        <v>9514</v>
      </c>
      <c r="H183">
        <v>380550</v>
      </c>
      <c r="I183">
        <v>5110</v>
      </c>
    </row>
    <row r="184" spans="1:9" x14ac:dyDescent="0.3">
      <c r="A184" t="s">
        <v>390</v>
      </c>
      <c r="B184" s="1">
        <v>45652</v>
      </c>
      <c r="C184" t="s">
        <v>391</v>
      </c>
      <c r="D184" t="s">
        <v>77</v>
      </c>
      <c r="E184" t="s">
        <v>13</v>
      </c>
      <c r="F184">
        <v>46</v>
      </c>
      <c r="G184">
        <v>5269</v>
      </c>
      <c r="H184">
        <v>242362</v>
      </c>
      <c r="I184">
        <v>5540</v>
      </c>
    </row>
    <row r="185" spans="1:9" x14ac:dyDescent="0.3">
      <c r="A185" t="s">
        <v>392</v>
      </c>
      <c r="B185" s="1">
        <v>44533</v>
      </c>
      <c r="C185" t="s">
        <v>393</v>
      </c>
      <c r="D185" t="s">
        <v>32</v>
      </c>
      <c r="E185" t="s">
        <v>13</v>
      </c>
      <c r="F185">
        <v>38</v>
      </c>
      <c r="G185">
        <v>4102</v>
      </c>
      <c r="H185">
        <v>155888</v>
      </c>
      <c r="I185">
        <v>1118</v>
      </c>
    </row>
    <row r="186" spans="1:9" x14ac:dyDescent="0.3">
      <c r="A186" t="s">
        <v>394</v>
      </c>
      <c r="B186" s="1">
        <v>44453</v>
      </c>
      <c r="C186" t="s">
        <v>395</v>
      </c>
      <c r="D186" t="s">
        <v>43</v>
      </c>
      <c r="E186" t="s">
        <v>7</v>
      </c>
      <c r="F186">
        <v>20</v>
      </c>
      <c r="G186">
        <v>6759</v>
      </c>
      <c r="H186">
        <v>135181</v>
      </c>
      <c r="I186">
        <v>1041</v>
      </c>
    </row>
    <row r="187" spans="1:9" x14ac:dyDescent="0.3">
      <c r="A187" t="s">
        <v>396</v>
      </c>
      <c r="B187" s="1">
        <v>44469</v>
      </c>
      <c r="C187" t="s">
        <v>397</v>
      </c>
      <c r="D187" t="s">
        <v>29</v>
      </c>
      <c r="E187" t="s">
        <v>13</v>
      </c>
      <c r="F187">
        <v>13</v>
      </c>
      <c r="G187">
        <v>7647</v>
      </c>
      <c r="H187">
        <v>99413</v>
      </c>
      <c r="I187">
        <v>184</v>
      </c>
    </row>
    <row r="188" spans="1:9" x14ac:dyDescent="0.3">
      <c r="A188" t="s">
        <v>398</v>
      </c>
      <c r="B188" s="1">
        <v>44552</v>
      </c>
      <c r="C188" t="s">
        <v>399</v>
      </c>
      <c r="D188" t="s">
        <v>36</v>
      </c>
      <c r="E188" t="s">
        <v>13</v>
      </c>
      <c r="F188">
        <v>37</v>
      </c>
      <c r="G188">
        <v>4027</v>
      </c>
      <c r="H188">
        <v>148986</v>
      </c>
      <c r="I188">
        <v>4508</v>
      </c>
    </row>
    <row r="189" spans="1:9" x14ac:dyDescent="0.3">
      <c r="A189" t="s">
        <v>400</v>
      </c>
      <c r="B189" s="1">
        <v>44699</v>
      </c>
      <c r="C189" t="s">
        <v>401</v>
      </c>
      <c r="D189" t="s">
        <v>69</v>
      </c>
      <c r="E189" t="s">
        <v>19</v>
      </c>
      <c r="F189">
        <v>7</v>
      </c>
      <c r="G189">
        <v>5045</v>
      </c>
      <c r="H189">
        <v>35317</v>
      </c>
      <c r="I189">
        <v>975</v>
      </c>
    </row>
    <row r="190" spans="1:9" x14ac:dyDescent="0.3">
      <c r="A190" t="s">
        <v>402</v>
      </c>
      <c r="B190" s="1">
        <v>44112</v>
      </c>
      <c r="C190" t="s">
        <v>403</v>
      </c>
      <c r="D190" t="s">
        <v>11</v>
      </c>
      <c r="E190" t="s">
        <v>13</v>
      </c>
      <c r="F190">
        <v>13</v>
      </c>
      <c r="G190">
        <v>3628</v>
      </c>
      <c r="H190">
        <v>47167</v>
      </c>
      <c r="I190">
        <v>590</v>
      </c>
    </row>
    <row r="191" spans="1:9" x14ac:dyDescent="0.3">
      <c r="A191" t="s">
        <v>404</v>
      </c>
      <c r="B191" s="1">
        <v>45621</v>
      </c>
      <c r="C191" t="s">
        <v>405</v>
      </c>
      <c r="D191" t="s">
        <v>46</v>
      </c>
      <c r="E191" t="s">
        <v>13</v>
      </c>
      <c r="F191">
        <v>50</v>
      </c>
      <c r="G191">
        <v>4233</v>
      </c>
      <c r="H191">
        <v>211646</v>
      </c>
      <c r="I191">
        <v>6142</v>
      </c>
    </row>
    <row r="192" spans="1:9" x14ac:dyDescent="0.3">
      <c r="A192" t="s">
        <v>406</v>
      </c>
      <c r="B192" s="1">
        <v>45708</v>
      </c>
      <c r="C192" t="s">
        <v>407</v>
      </c>
      <c r="D192" t="s">
        <v>46</v>
      </c>
      <c r="E192" t="s">
        <v>13</v>
      </c>
      <c r="F192">
        <v>15</v>
      </c>
      <c r="G192">
        <v>2645</v>
      </c>
      <c r="H192">
        <v>39678</v>
      </c>
      <c r="I192">
        <v>5988</v>
      </c>
    </row>
    <row r="193" spans="1:9" x14ac:dyDescent="0.3">
      <c r="A193" t="s">
        <v>408</v>
      </c>
      <c r="B193" s="1">
        <v>45723</v>
      </c>
      <c r="C193" t="s">
        <v>409</v>
      </c>
      <c r="D193" t="s">
        <v>29</v>
      </c>
      <c r="E193" t="s">
        <v>13</v>
      </c>
      <c r="F193">
        <v>33</v>
      </c>
      <c r="G193">
        <v>3489</v>
      </c>
      <c r="H193">
        <v>115127</v>
      </c>
      <c r="I193">
        <v>3989</v>
      </c>
    </row>
    <row r="194" spans="1:9" x14ac:dyDescent="0.3">
      <c r="A194" t="s">
        <v>410</v>
      </c>
      <c r="B194" s="1">
        <v>45566</v>
      </c>
      <c r="C194" t="s">
        <v>411</v>
      </c>
      <c r="D194" t="s">
        <v>77</v>
      </c>
      <c r="E194" t="s">
        <v>13</v>
      </c>
      <c r="F194">
        <v>100</v>
      </c>
      <c r="G194">
        <v>4443</v>
      </c>
      <c r="H194">
        <v>444272</v>
      </c>
      <c r="I194">
        <v>20272</v>
      </c>
    </row>
    <row r="195" spans="1:9" x14ac:dyDescent="0.3">
      <c r="A195" t="s">
        <v>412</v>
      </c>
      <c r="B195" s="1">
        <v>44158</v>
      </c>
      <c r="C195" t="s">
        <v>413</v>
      </c>
      <c r="D195" t="s">
        <v>11</v>
      </c>
      <c r="E195" t="s">
        <v>13</v>
      </c>
      <c r="F195">
        <v>13</v>
      </c>
      <c r="G195">
        <v>9940</v>
      </c>
      <c r="H195">
        <v>129222</v>
      </c>
      <c r="I195">
        <v>2459</v>
      </c>
    </row>
    <row r="196" spans="1:9" x14ac:dyDescent="0.3">
      <c r="A196" t="s">
        <v>414</v>
      </c>
      <c r="B196" s="1">
        <v>45003</v>
      </c>
      <c r="C196" t="s">
        <v>415</v>
      </c>
      <c r="D196" t="s">
        <v>77</v>
      </c>
      <c r="E196" t="s">
        <v>7</v>
      </c>
      <c r="F196">
        <v>22</v>
      </c>
      <c r="G196">
        <v>6626</v>
      </c>
      <c r="H196">
        <v>145782</v>
      </c>
      <c r="I196">
        <v>5312</v>
      </c>
    </row>
    <row r="197" spans="1:9" x14ac:dyDescent="0.3">
      <c r="A197" t="s">
        <v>416</v>
      </c>
      <c r="B197" s="1">
        <v>45169</v>
      </c>
      <c r="C197" t="s">
        <v>417</v>
      </c>
      <c r="D197" t="s">
        <v>43</v>
      </c>
      <c r="E197" t="s">
        <v>7</v>
      </c>
      <c r="F197">
        <v>30</v>
      </c>
      <c r="G197">
        <v>6444</v>
      </c>
      <c r="H197">
        <v>193320</v>
      </c>
      <c r="I197">
        <v>2670</v>
      </c>
    </row>
    <row r="198" spans="1:9" x14ac:dyDescent="0.3">
      <c r="A198" t="s">
        <v>418</v>
      </c>
      <c r="B198" s="1">
        <v>44916</v>
      </c>
      <c r="C198" t="s">
        <v>419</v>
      </c>
      <c r="D198" t="s">
        <v>43</v>
      </c>
      <c r="E198" t="s">
        <v>13</v>
      </c>
      <c r="F198">
        <v>27</v>
      </c>
      <c r="G198">
        <v>5037</v>
      </c>
      <c r="H198">
        <v>135994</v>
      </c>
      <c r="I198">
        <v>691</v>
      </c>
    </row>
    <row r="199" spans="1:9" x14ac:dyDescent="0.3">
      <c r="A199" t="s">
        <v>420</v>
      </c>
      <c r="B199" s="1">
        <v>45334</v>
      </c>
      <c r="C199" t="s">
        <v>421</v>
      </c>
      <c r="D199" t="s">
        <v>89</v>
      </c>
      <c r="E199" t="s">
        <v>19</v>
      </c>
      <c r="F199">
        <v>18</v>
      </c>
      <c r="G199">
        <v>7515</v>
      </c>
      <c r="H199">
        <v>135265</v>
      </c>
      <c r="I199">
        <v>319</v>
      </c>
    </row>
    <row r="200" spans="1:9" x14ac:dyDescent="0.3">
      <c r="A200" t="s">
        <v>422</v>
      </c>
      <c r="B200" s="1">
        <v>44900</v>
      </c>
      <c r="C200" t="s">
        <v>423</v>
      </c>
      <c r="D200" t="s">
        <v>8</v>
      </c>
      <c r="E200" t="s">
        <v>13</v>
      </c>
      <c r="F200">
        <v>39</v>
      </c>
      <c r="G200">
        <v>3828</v>
      </c>
      <c r="H200">
        <v>149283</v>
      </c>
      <c r="I200">
        <v>2527</v>
      </c>
    </row>
    <row r="201" spans="1:9" x14ac:dyDescent="0.3">
      <c r="A201" t="s">
        <v>424</v>
      </c>
      <c r="B201" s="1">
        <v>44290</v>
      </c>
      <c r="C201" t="s">
        <v>425</v>
      </c>
      <c r="D201" t="s">
        <v>69</v>
      </c>
      <c r="E201" t="s">
        <v>13</v>
      </c>
      <c r="F201">
        <v>15</v>
      </c>
      <c r="G201">
        <v>8333</v>
      </c>
      <c r="H201">
        <v>124991</v>
      </c>
      <c r="I201">
        <v>1346</v>
      </c>
    </row>
    <row r="202" spans="1:9" x14ac:dyDescent="0.3">
      <c r="A202" t="s">
        <v>426</v>
      </c>
      <c r="B202" s="1">
        <v>45310</v>
      </c>
      <c r="C202" t="s">
        <v>427</v>
      </c>
      <c r="D202" t="s">
        <v>36</v>
      </c>
      <c r="E202" t="s">
        <v>13</v>
      </c>
      <c r="F202">
        <v>81</v>
      </c>
      <c r="G202">
        <v>5034</v>
      </c>
      <c r="H202">
        <v>407793</v>
      </c>
      <c r="I202">
        <v>5373</v>
      </c>
    </row>
    <row r="203" spans="1:9" x14ac:dyDescent="0.3">
      <c r="A203" t="s">
        <v>428</v>
      </c>
      <c r="B203" s="1">
        <v>44920</v>
      </c>
      <c r="C203" t="s">
        <v>429</v>
      </c>
      <c r="D203" t="s">
        <v>49</v>
      </c>
      <c r="E203" t="s">
        <v>19</v>
      </c>
      <c r="F203">
        <v>30</v>
      </c>
      <c r="G203">
        <v>8034</v>
      </c>
      <c r="H203">
        <v>241035</v>
      </c>
      <c r="I203">
        <v>5858</v>
      </c>
    </row>
    <row r="204" spans="1:9" x14ac:dyDescent="0.3">
      <c r="A204" t="s">
        <v>430</v>
      </c>
      <c r="B204" s="1">
        <v>44840</v>
      </c>
      <c r="C204" t="s">
        <v>431</v>
      </c>
      <c r="D204" t="s">
        <v>8</v>
      </c>
      <c r="E204" t="s">
        <v>7</v>
      </c>
      <c r="F204">
        <v>2</v>
      </c>
      <c r="G204">
        <v>6644</v>
      </c>
      <c r="H204">
        <v>13287</v>
      </c>
      <c r="I204">
        <v>2389</v>
      </c>
    </row>
    <row r="205" spans="1:9" x14ac:dyDescent="0.3">
      <c r="A205" t="s">
        <v>432</v>
      </c>
      <c r="B205" s="1">
        <v>45425</v>
      </c>
      <c r="C205" t="s">
        <v>433</v>
      </c>
      <c r="D205" t="s">
        <v>69</v>
      </c>
      <c r="E205" t="s">
        <v>19</v>
      </c>
      <c r="F205">
        <v>14</v>
      </c>
      <c r="G205">
        <v>2612</v>
      </c>
      <c r="H205">
        <v>36574</v>
      </c>
      <c r="I205">
        <v>440</v>
      </c>
    </row>
    <row r="206" spans="1:9" x14ac:dyDescent="0.3">
      <c r="A206" t="s">
        <v>434</v>
      </c>
      <c r="B206" s="1">
        <v>44127</v>
      </c>
      <c r="C206" t="s">
        <v>435</v>
      </c>
      <c r="D206" t="s">
        <v>18</v>
      </c>
      <c r="E206" t="s">
        <v>19</v>
      </c>
      <c r="F206">
        <v>38</v>
      </c>
      <c r="G206">
        <v>3201</v>
      </c>
      <c r="H206">
        <v>121628</v>
      </c>
      <c r="I206">
        <v>1992</v>
      </c>
    </row>
    <row r="207" spans="1:9" x14ac:dyDescent="0.3">
      <c r="A207" t="s">
        <v>436</v>
      </c>
      <c r="B207" s="1">
        <v>44447</v>
      </c>
      <c r="C207" t="s">
        <v>437</v>
      </c>
      <c r="D207" t="s">
        <v>32</v>
      </c>
      <c r="E207" t="s">
        <v>7</v>
      </c>
      <c r="F207">
        <v>2</v>
      </c>
      <c r="G207">
        <v>8160</v>
      </c>
      <c r="H207">
        <v>16320</v>
      </c>
      <c r="I207">
        <v>2452</v>
      </c>
    </row>
    <row r="208" spans="1:9" x14ac:dyDescent="0.3">
      <c r="A208" t="s">
        <v>438</v>
      </c>
      <c r="B208" s="1">
        <v>45242</v>
      </c>
      <c r="C208" t="s">
        <v>439</v>
      </c>
      <c r="D208" t="s">
        <v>77</v>
      </c>
      <c r="E208" t="s">
        <v>13</v>
      </c>
      <c r="F208">
        <v>12</v>
      </c>
      <c r="G208">
        <v>4592</v>
      </c>
      <c r="H208">
        <v>55108</v>
      </c>
      <c r="I208">
        <v>4684</v>
      </c>
    </row>
    <row r="209" spans="1:9" x14ac:dyDescent="0.3">
      <c r="A209" t="s">
        <v>440</v>
      </c>
      <c r="B209" s="1">
        <v>45199</v>
      </c>
      <c r="C209" t="s">
        <v>441</v>
      </c>
      <c r="D209" t="s">
        <v>18</v>
      </c>
      <c r="E209" t="s">
        <v>7</v>
      </c>
      <c r="F209">
        <v>10</v>
      </c>
      <c r="G209">
        <v>2774</v>
      </c>
      <c r="H209">
        <v>27738</v>
      </c>
      <c r="I209">
        <v>3660</v>
      </c>
    </row>
    <row r="210" spans="1:9" x14ac:dyDescent="0.3">
      <c r="A210" t="s">
        <v>442</v>
      </c>
      <c r="B210" s="1">
        <v>44086</v>
      </c>
      <c r="C210" t="s">
        <v>443</v>
      </c>
      <c r="D210" t="s">
        <v>22</v>
      </c>
      <c r="E210" t="s">
        <v>19</v>
      </c>
      <c r="F210">
        <v>28</v>
      </c>
      <c r="G210">
        <v>9048</v>
      </c>
      <c r="H210">
        <v>253354</v>
      </c>
      <c r="I210">
        <v>4448</v>
      </c>
    </row>
    <row r="211" spans="1:9" x14ac:dyDescent="0.3">
      <c r="A211" t="s">
        <v>444</v>
      </c>
      <c r="B211" s="1">
        <v>45210</v>
      </c>
      <c r="C211" t="s">
        <v>445</v>
      </c>
      <c r="D211" t="s">
        <v>29</v>
      </c>
      <c r="E211" t="s">
        <v>7</v>
      </c>
      <c r="F211">
        <v>56</v>
      </c>
      <c r="G211">
        <v>5298</v>
      </c>
      <c r="H211">
        <v>296692</v>
      </c>
      <c r="I211">
        <v>8180</v>
      </c>
    </row>
    <row r="212" spans="1:9" x14ac:dyDescent="0.3">
      <c r="A212" t="s">
        <v>446</v>
      </c>
      <c r="B212" s="1">
        <v>44672</v>
      </c>
      <c r="C212" t="s">
        <v>447</v>
      </c>
      <c r="D212" t="s">
        <v>69</v>
      </c>
      <c r="E212" t="s">
        <v>13</v>
      </c>
      <c r="F212">
        <v>1</v>
      </c>
      <c r="G212">
        <v>2732</v>
      </c>
      <c r="H212">
        <v>2732</v>
      </c>
      <c r="I212">
        <v>190</v>
      </c>
    </row>
    <row r="213" spans="1:9" x14ac:dyDescent="0.3">
      <c r="A213" t="s">
        <v>448</v>
      </c>
      <c r="B213" s="1">
        <v>45183</v>
      </c>
      <c r="C213" t="s">
        <v>449</v>
      </c>
      <c r="D213" t="s">
        <v>46</v>
      </c>
      <c r="E213" t="s">
        <v>13</v>
      </c>
      <c r="F213">
        <v>45</v>
      </c>
      <c r="G213">
        <v>5062</v>
      </c>
      <c r="H213">
        <v>227772</v>
      </c>
      <c r="I213">
        <v>9222</v>
      </c>
    </row>
    <row r="214" spans="1:9" x14ac:dyDescent="0.3">
      <c r="A214" t="s">
        <v>450</v>
      </c>
      <c r="B214" s="1">
        <v>45556</v>
      </c>
      <c r="C214" t="s">
        <v>451</v>
      </c>
      <c r="D214" t="s">
        <v>8</v>
      </c>
      <c r="E214" t="s">
        <v>19</v>
      </c>
      <c r="F214">
        <v>36</v>
      </c>
      <c r="G214">
        <v>6329</v>
      </c>
      <c r="H214">
        <v>227842</v>
      </c>
      <c r="I214">
        <v>4642</v>
      </c>
    </row>
    <row r="215" spans="1:9" x14ac:dyDescent="0.3">
      <c r="A215" t="s">
        <v>452</v>
      </c>
      <c r="B215" s="1">
        <v>45690</v>
      </c>
      <c r="C215" t="s">
        <v>453</v>
      </c>
      <c r="D215" t="s">
        <v>18</v>
      </c>
      <c r="E215" t="s">
        <v>7</v>
      </c>
      <c r="F215">
        <v>13</v>
      </c>
      <c r="G215">
        <v>4502</v>
      </c>
      <c r="H215">
        <v>58523</v>
      </c>
      <c r="I215">
        <v>413</v>
      </c>
    </row>
    <row r="216" spans="1:9" x14ac:dyDescent="0.3">
      <c r="A216" t="s">
        <v>454</v>
      </c>
      <c r="B216" s="1">
        <v>44855</v>
      </c>
      <c r="C216" t="s">
        <v>455</v>
      </c>
      <c r="D216" t="s">
        <v>29</v>
      </c>
      <c r="E216" t="s">
        <v>13</v>
      </c>
      <c r="F216">
        <v>78</v>
      </c>
      <c r="G216">
        <v>3210</v>
      </c>
      <c r="H216">
        <v>250410</v>
      </c>
      <c r="I216">
        <v>2682</v>
      </c>
    </row>
    <row r="217" spans="1:9" x14ac:dyDescent="0.3">
      <c r="A217" t="s">
        <v>456</v>
      </c>
      <c r="B217" s="1">
        <v>44572</v>
      </c>
      <c r="C217" t="s">
        <v>457</v>
      </c>
      <c r="D217" t="s">
        <v>9</v>
      </c>
      <c r="E217" t="s">
        <v>13</v>
      </c>
      <c r="F217">
        <v>28</v>
      </c>
      <c r="G217">
        <v>5212</v>
      </c>
      <c r="H217">
        <v>145950</v>
      </c>
      <c r="I217">
        <v>2990</v>
      </c>
    </row>
    <row r="218" spans="1:9" x14ac:dyDescent="0.3">
      <c r="A218" t="s">
        <v>458</v>
      </c>
      <c r="B218" s="1">
        <v>44803</v>
      </c>
      <c r="C218" t="s">
        <v>459</v>
      </c>
      <c r="D218" t="s">
        <v>15</v>
      </c>
      <c r="E218" t="s">
        <v>13</v>
      </c>
      <c r="F218">
        <v>18</v>
      </c>
      <c r="G218">
        <v>5049</v>
      </c>
      <c r="H218">
        <v>90882</v>
      </c>
      <c r="I218">
        <v>3528</v>
      </c>
    </row>
    <row r="219" spans="1:9" x14ac:dyDescent="0.3">
      <c r="A219" t="s">
        <v>460</v>
      </c>
      <c r="B219" s="1">
        <v>44841</v>
      </c>
      <c r="C219" t="s">
        <v>461</v>
      </c>
      <c r="D219" t="s">
        <v>46</v>
      </c>
      <c r="E219" t="s">
        <v>13</v>
      </c>
      <c r="F219">
        <v>16</v>
      </c>
      <c r="G219">
        <v>1450</v>
      </c>
      <c r="H219">
        <v>23195</v>
      </c>
      <c r="I219">
        <v>1423</v>
      </c>
    </row>
    <row r="220" spans="1:9" x14ac:dyDescent="0.3">
      <c r="A220" t="s">
        <v>462</v>
      </c>
      <c r="B220" s="1">
        <v>45081</v>
      </c>
      <c r="C220" t="s">
        <v>463</v>
      </c>
      <c r="D220" t="s">
        <v>46</v>
      </c>
      <c r="E220" t="s">
        <v>13</v>
      </c>
      <c r="F220">
        <v>31</v>
      </c>
      <c r="G220">
        <v>6469</v>
      </c>
      <c r="H220">
        <v>200545</v>
      </c>
      <c r="I220">
        <v>3508</v>
      </c>
    </row>
    <row r="221" spans="1:9" x14ac:dyDescent="0.3">
      <c r="A221" t="s">
        <v>464</v>
      </c>
      <c r="B221" s="1">
        <v>44694</v>
      </c>
      <c r="C221" t="s">
        <v>465</v>
      </c>
      <c r="D221" t="s">
        <v>36</v>
      </c>
      <c r="E221" t="s">
        <v>7</v>
      </c>
      <c r="F221">
        <v>2</v>
      </c>
      <c r="G221">
        <v>9724</v>
      </c>
      <c r="H221">
        <v>19449</v>
      </c>
      <c r="I221">
        <v>325</v>
      </c>
    </row>
    <row r="222" spans="1:9" x14ac:dyDescent="0.3">
      <c r="A222" t="s">
        <v>466</v>
      </c>
      <c r="B222" s="1">
        <v>44949</v>
      </c>
      <c r="C222" t="s">
        <v>467</v>
      </c>
      <c r="D222" t="s">
        <v>46</v>
      </c>
      <c r="E222" t="s">
        <v>7</v>
      </c>
      <c r="F222">
        <v>6</v>
      </c>
      <c r="G222">
        <v>5302</v>
      </c>
      <c r="H222">
        <v>31810</v>
      </c>
      <c r="I222">
        <v>3682</v>
      </c>
    </row>
    <row r="223" spans="1:9" x14ac:dyDescent="0.3">
      <c r="A223" t="s">
        <v>468</v>
      </c>
      <c r="B223" s="1">
        <v>45724</v>
      </c>
      <c r="C223" t="s">
        <v>469</v>
      </c>
      <c r="D223" t="s">
        <v>49</v>
      </c>
      <c r="E223" t="s">
        <v>7</v>
      </c>
      <c r="F223">
        <v>4</v>
      </c>
      <c r="G223">
        <v>8020</v>
      </c>
      <c r="H223">
        <v>32082</v>
      </c>
      <c r="I223">
        <v>482</v>
      </c>
    </row>
    <row r="224" spans="1:9" x14ac:dyDescent="0.3">
      <c r="A224" t="s">
        <v>470</v>
      </c>
      <c r="B224" s="1">
        <v>44920</v>
      </c>
      <c r="C224" t="s">
        <v>471</v>
      </c>
      <c r="D224" t="s">
        <v>54</v>
      </c>
      <c r="E224" t="s">
        <v>13</v>
      </c>
      <c r="F224">
        <v>25</v>
      </c>
      <c r="G224">
        <v>5684</v>
      </c>
      <c r="H224">
        <v>142103</v>
      </c>
      <c r="I224">
        <v>5064</v>
      </c>
    </row>
    <row r="225" spans="1:9" x14ac:dyDescent="0.3">
      <c r="A225" t="s">
        <v>472</v>
      </c>
      <c r="B225" s="1">
        <v>45406</v>
      </c>
      <c r="C225" t="s">
        <v>473</v>
      </c>
      <c r="D225" t="s">
        <v>77</v>
      </c>
      <c r="E225" t="s">
        <v>19</v>
      </c>
      <c r="F225">
        <v>6</v>
      </c>
      <c r="G225">
        <v>4961</v>
      </c>
      <c r="H225">
        <v>29766</v>
      </c>
      <c r="I225">
        <v>654</v>
      </c>
    </row>
    <row r="226" spans="1:9" x14ac:dyDescent="0.3">
      <c r="A226" t="s">
        <v>474</v>
      </c>
      <c r="B226" s="1">
        <v>44418</v>
      </c>
      <c r="C226" t="s">
        <v>475</v>
      </c>
      <c r="D226" t="s">
        <v>77</v>
      </c>
      <c r="E226" t="s">
        <v>19</v>
      </c>
      <c r="F226">
        <v>6</v>
      </c>
      <c r="G226">
        <v>4556</v>
      </c>
      <c r="H226">
        <v>27337</v>
      </c>
      <c r="I226">
        <v>1453</v>
      </c>
    </row>
    <row r="227" spans="1:9" x14ac:dyDescent="0.3">
      <c r="A227" t="s">
        <v>476</v>
      </c>
      <c r="B227" s="1">
        <v>45438</v>
      </c>
      <c r="C227" t="s">
        <v>477</v>
      </c>
      <c r="D227" t="s">
        <v>29</v>
      </c>
      <c r="E227" t="s">
        <v>13</v>
      </c>
      <c r="F227">
        <v>6</v>
      </c>
      <c r="G227">
        <v>3780</v>
      </c>
      <c r="H227">
        <v>22682</v>
      </c>
      <c r="I227">
        <v>2954</v>
      </c>
    </row>
    <row r="228" spans="1:9" x14ac:dyDescent="0.3">
      <c r="A228" t="s">
        <v>478</v>
      </c>
      <c r="B228" s="1">
        <v>45635</v>
      </c>
      <c r="C228" t="s">
        <v>479</v>
      </c>
      <c r="D228" t="s">
        <v>22</v>
      </c>
      <c r="E228" t="s">
        <v>13</v>
      </c>
      <c r="F228">
        <v>5</v>
      </c>
      <c r="G228">
        <v>4140</v>
      </c>
      <c r="H228">
        <v>20698</v>
      </c>
      <c r="I228">
        <v>813</v>
      </c>
    </row>
    <row r="229" spans="1:9" x14ac:dyDescent="0.3">
      <c r="A229" t="s">
        <v>480</v>
      </c>
      <c r="B229" s="1">
        <v>45078</v>
      </c>
      <c r="C229" t="s">
        <v>481</v>
      </c>
      <c r="D229" t="s">
        <v>9</v>
      </c>
      <c r="E229" t="s">
        <v>7</v>
      </c>
      <c r="F229">
        <v>2</v>
      </c>
      <c r="G229">
        <v>6940</v>
      </c>
      <c r="H229">
        <v>13881</v>
      </c>
      <c r="I229">
        <v>1377</v>
      </c>
    </row>
    <row r="230" spans="1:9" x14ac:dyDescent="0.3">
      <c r="A230" t="s">
        <v>482</v>
      </c>
      <c r="B230" s="1">
        <v>45235</v>
      </c>
      <c r="C230" t="s">
        <v>483</v>
      </c>
      <c r="D230" t="s">
        <v>11</v>
      </c>
      <c r="E230" t="s">
        <v>13</v>
      </c>
      <c r="F230">
        <v>12</v>
      </c>
      <c r="G230">
        <v>9355</v>
      </c>
      <c r="H230">
        <v>112261</v>
      </c>
      <c r="I230">
        <v>3253</v>
      </c>
    </row>
    <row r="231" spans="1:9" x14ac:dyDescent="0.3">
      <c r="A231" t="s">
        <v>484</v>
      </c>
      <c r="B231" s="1">
        <v>44003</v>
      </c>
      <c r="C231" t="s">
        <v>485</v>
      </c>
      <c r="D231" t="s">
        <v>36</v>
      </c>
      <c r="E231" t="s">
        <v>7</v>
      </c>
      <c r="F231">
        <v>15</v>
      </c>
      <c r="G231">
        <v>9093</v>
      </c>
      <c r="H231">
        <v>136391</v>
      </c>
      <c r="I231">
        <v>1481</v>
      </c>
    </row>
    <row r="232" spans="1:9" x14ac:dyDescent="0.3">
      <c r="A232" t="s">
        <v>486</v>
      </c>
      <c r="B232" s="1">
        <v>44130</v>
      </c>
      <c r="C232" t="s">
        <v>487</v>
      </c>
      <c r="D232" t="s">
        <v>34</v>
      </c>
      <c r="E232" t="s">
        <v>13</v>
      </c>
      <c r="F232">
        <v>16</v>
      </c>
      <c r="G232">
        <v>1100</v>
      </c>
      <c r="H232">
        <v>17600</v>
      </c>
      <c r="I232">
        <v>176</v>
      </c>
    </row>
    <row r="233" spans="1:9" x14ac:dyDescent="0.3">
      <c r="A233" t="s">
        <v>488</v>
      </c>
      <c r="B233" s="1">
        <v>44718</v>
      </c>
      <c r="C233" t="s">
        <v>489</v>
      </c>
      <c r="D233" t="s">
        <v>29</v>
      </c>
      <c r="E233" t="s">
        <v>13</v>
      </c>
      <c r="F233">
        <v>58</v>
      </c>
      <c r="G233">
        <v>6203</v>
      </c>
      <c r="H233">
        <v>359762</v>
      </c>
      <c r="I233">
        <v>5842</v>
      </c>
    </row>
    <row r="234" spans="1:9" x14ac:dyDescent="0.3">
      <c r="A234" t="s">
        <v>490</v>
      </c>
      <c r="B234" s="1">
        <v>44511</v>
      </c>
      <c r="C234" t="s">
        <v>491</v>
      </c>
      <c r="D234" t="s">
        <v>8</v>
      </c>
      <c r="E234" t="s">
        <v>19</v>
      </c>
      <c r="F234">
        <v>25</v>
      </c>
      <c r="G234">
        <v>8207</v>
      </c>
      <c r="H234">
        <v>205183</v>
      </c>
      <c r="I234">
        <v>6603</v>
      </c>
    </row>
    <row r="235" spans="1:9" x14ac:dyDescent="0.3">
      <c r="A235" t="s">
        <v>492</v>
      </c>
      <c r="B235" s="1">
        <v>44408</v>
      </c>
      <c r="C235" t="s">
        <v>315</v>
      </c>
      <c r="D235" t="s">
        <v>34</v>
      </c>
      <c r="E235" t="s">
        <v>13</v>
      </c>
      <c r="F235">
        <v>36</v>
      </c>
      <c r="G235">
        <v>7087</v>
      </c>
      <c r="H235">
        <v>255146</v>
      </c>
      <c r="I235">
        <v>4513</v>
      </c>
    </row>
    <row r="236" spans="1:9" x14ac:dyDescent="0.3">
      <c r="A236" t="s">
        <v>493</v>
      </c>
      <c r="B236" s="1">
        <v>45395</v>
      </c>
      <c r="C236" t="s">
        <v>494</v>
      </c>
      <c r="D236" t="s">
        <v>36</v>
      </c>
      <c r="E236" t="s">
        <v>19</v>
      </c>
      <c r="F236">
        <v>1</v>
      </c>
      <c r="G236">
        <v>5998</v>
      </c>
      <c r="H236">
        <v>5998</v>
      </c>
      <c r="I236">
        <v>655</v>
      </c>
    </row>
    <row r="237" spans="1:9" x14ac:dyDescent="0.3">
      <c r="A237" t="s">
        <v>495</v>
      </c>
      <c r="B237" s="1">
        <v>44670</v>
      </c>
      <c r="C237" t="s">
        <v>496</v>
      </c>
      <c r="D237" t="s">
        <v>29</v>
      </c>
      <c r="E237" t="s">
        <v>13</v>
      </c>
      <c r="F237">
        <v>20</v>
      </c>
      <c r="G237">
        <v>6972</v>
      </c>
      <c r="H237">
        <v>139438</v>
      </c>
      <c r="I237">
        <v>318</v>
      </c>
    </row>
    <row r="238" spans="1:9" x14ac:dyDescent="0.3">
      <c r="A238" t="s">
        <v>497</v>
      </c>
      <c r="B238" s="1">
        <v>45374</v>
      </c>
      <c r="C238" t="s">
        <v>498</v>
      </c>
      <c r="D238" t="s">
        <v>11</v>
      </c>
      <c r="E238" t="s">
        <v>19</v>
      </c>
      <c r="F238">
        <v>17</v>
      </c>
      <c r="G238">
        <v>5447</v>
      </c>
      <c r="H238">
        <v>92607</v>
      </c>
      <c r="I238">
        <v>2405</v>
      </c>
    </row>
    <row r="239" spans="1:9" x14ac:dyDescent="0.3">
      <c r="A239" t="s">
        <v>499</v>
      </c>
      <c r="B239" s="1">
        <v>44323</v>
      </c>
      <c r="C239" t="s">
        <v>500</v>
      </c>
      <c r="D239" t="s">
        <v>22</v>
      </c>
      <c r="E239" t="s">
        <v>13</v>
      </c>
      <c r="F239">
        <v>22</v>
      </c>
      <c r="G239">
        <v>8083</v>
      </c>
      <c r="H239">
        <v>177834</v>
      </c>
      <c r="I239">
        <v>1010</v>
      </c>
    </row>
    <row r="240" spans="1:9" x14ac:dyDescent="0.3">
      <c r="A240" t="s">
        <v>501</v>
      </c>
      <c r="B240" s="1">
        <v>44687</v>
      </c>
      <c r="C240" t="s">
        <v>502</v>
      </c>
      <c r="D240" t="s">
        <v>54</v>
      </c>
      <c r="E240" t="s">
        <v>13</v>
      </c>
      <c r="F240">
        <v>15</v>
      </c>
      <c r="G240">
        <v>979</v>
      </c>
      <c r="H240">
        <v>14686</v>
      </c>
      <c r="I240">
        <v>106</v>
      </c>
    </row>
    <row r="241" spans="1:9" x14ac:dyDescent="0.3">
      <c r="A241" t="s">
        <v>503</v>
      </c>
      <c r="B241" s="1">
        <v>45697</v>
      </c>
      <c r="C241" t="s">
        <v>504</v>
      </c>
      <c r="D241" t="s">
        <v>77</v>
      </c>
      <c r="E241" t="s">
        <v>13</v>
      </c>
      <c r="F241">
        <v>8</v>
      </c>
      <c r="G241">
        <v>3866</v>
      </c>
      <c r="H241">
        <v>30924</v>
      </c>
      <c r="I241">
        <v>1604</v>
      </c>
    </row>
    <row r="242" spans="1:9" x14ac:dyDescent="0.3">
      <c r="A242" t="s">
        <v>505</v>
      </c>
      <c r="B242" s="1">
        <v>45405</v>
      </c>
      <c r="C242" t="s">
        <v>506</v>
      </c>
      <c r="D242" t="s">
        <v>18</v>
      </c>
      <c r="E242" t="s">
        <v>13</v>
      </c>
      <c r="F242">
        <v>2</v>
      </c>
      <c r="G242">
        <v>10866</v>
      </c>
      <c r="H242">
        <v>21733</v>
      </c>
      <c r="I242">
        <v>2117</v>
      </c>
    </row>
    <row r="243" spans="1:9" x14ac:dyDescent="0.3">
      <c r="A243" t="s">
        <v>507</v>
      </c>
      <c r="B243" s="1">
        <v>45449</v>
      </c>
      <c r="C243" t="s">
        <v>508</v>
      </c>
      <c r="D243" t="s">
        <v>36</v>
      </c>
      <c r="E243" t="s">
        <v>19</v>
      </c>
      <c r="F243">
        <v>72</v>
      </c>
      <c r="G243">
        <v>3867</v>
      </c>
      <c r="H243">
        <v>278428</v>
      </c>
      <c r="I243">
        <v>2482</v>
      </c>
    </row>
    <row r="244" spans="1:9" x14ac:dyDescent="0.3">
      <c r="A244" t="s">
        <v>509</v>
      </c>
      <c r="B244" s="1">
        <v>45684</v>
      </c>
      <c r="C244" t="s">
        <v>510</v>
      </c>
      <c r="D244" t="s">
        <v>77</v>
      </c>
      <c r="E244" t="s">
        <v>7</v>
      </c>
      <c r="F244">
        <v>17</v>
      </c>
      <c r="G244">
        <v>5827</v>
      </c>
      <c r="H244">
        <v>99055</v>
      </c>
      <c r="I244">
        <v>2733</v>
      </c>
    </row>
    <row r="245" spans="1:9" x14ac:dyDescent="0.3">
      <c r="A245" t="s">
        <v>511</v>
      </c>
      <c r="B245" s="1">
        <v>45023</v>
      </c>
      <c r="C245" t="s">
        <v>512</v>
      </c>
      <c r="D245" t="s">
        <v>34</v>
      </c>
      <c r="E245" t="s">
        <v>13</v>
      </c>
      <c r="F245">
        <v>18</v>
      </c>
      <c r="G245">
        <v>4252</v>
      </c>
      <c r="H245">
        <v>76528</v>
      </c>
      <c r="I245">
        <v>1450</v>
      </c>
    </row>
    <row r="246" spans="1:9" x14ac:dyDescent="0.3">
      <c r="A246" t="s">
        <v>513</v>
      </c>
      <c r="B246" s="1">
        <v>44691</v>
      </c>
      <c r="C246" t="s">
        <v>514</v>
      </c>
      <c r="D246" t="s">
        <v>29</v>
      </c>
      <c r="E246" t="s">
        <v>7</v>
      </c>
      <c r="F246">
        <v>14</v>
      </c>
      <c r="G246">
        <v>6642</v>
      </c>
      <c r="H246">
        <v>92982</v>
      </c>
      <c r="I246">
        <v>5678</v>
      </c>
    </row>
    <row r="247" spans="1:9" x14ac:dyDescent="0.3">
      <c r="A247" t="s">
        <v>515</v>
      </c>
      <c r="B247" s="1">
        <v>45441</v>
      </c>
      <c r="C247" t="s">
        <v>516</v>
      </c>
      <c r="D247" t="s">
        <v>77</v>
      </c>
      <c r="E247" t="s">
        <v>19</v>
      </c>
      <c r="F247">
        <v>16</v>
      </c>
      <c r="G247">
        <v>5717</v>
      </c>
      <c r="H247">
        <v>91472</v>
      </c>
      <c r="I247">
        <v>4912</v>
      </c>
    </row>
    <row r="248" spans="1:9" x14ac:dyDescent="0.3">
      <c r="A248" t="s">
        <v>517</v>
      </c>
      <c r="B248" s="1">
        <v>45414</v>
      </c>
      <c r="C248" t="s">
        <v>518</v>
      </c>
      <c r="D248" t="s">
        <v>18</v>
      </c>
      <c r="E248" t="s">
        <v>19</v>
      </c>
      <c r="F248">
        <v>2</v>
      </c>
      <c r="G248">
        <v>4377</v>
      </c>
      <c r="H248">
        <v>8754</v>
      </c>
      <c r="I248">
        <v>2706</v>
      </c>
    </row>
    <row r="249" spans="1:9" x14ac:dyDescent="0.3">
      <c r="A249" t="s">
        <v>519</v>
      </c>
      <c r="B249" s="1">
        <v>44907</v>
      </c>
      <c r="C249" t="s">
        <v>520</v>
      </c>
      <c r="D249" t="s">
        <v>29</v>
      </c>
      <c r="E249" t="s">
        <v>13</v>
      </c>
      <c r="F249">
        <v>5</v>
      </c>
      <c r="G249">
        <v>8004</v>
      </c>
      <c r="H249">
        <v>40021</v>
      </c>
      <c r="I249">
        <v>2851</v>
      </c>
    </row>
    <row r="250" spans="1:9" x14ac:dyDescent="0.3">
      <c r="A250" t="s">
        <v>521</v>
      </c>
      <c r="B250" s="1">
        <v>45155</v>
      </c>
      <c r="C250" t="s">
        <v>522</v>
      </c>
      <c r="D250" t="s">
        <v>34</v>
      </c>
      <c r="E250" t="s">
        <v>19</v>
      </c>
      <c r="F250">
        <v>56</v>
      </c>
      <c r="G250">
        <v>5954</v>
      </c>
      <c r="H250">
        <v>333450</v>
      </c>
      <c r="I250">
        <v>2188</v>
      </c>
    </row>
    <row r="251" spans="1:9" x14ac:dyDescent="0.3">
      <c r="A251" t="s">
        <v>523</v>
      </c>
      <c r="B251" s="1">
        <v>44360</v>
      </c>
      <c r="C251" t="s">
        <v>524</v>
      </c>
      <c r="D251" t="s">
        <v>8</v>
      </c>
      <c r="E251" t="s">
        <v>13</v>
      </c>
      <c r="F251">
        <v>18</v>
      </c>
      <c r="G251">
        <v>9267</v>
      </c>
      <c r="H251">
        <v>166812</v>
      </c>
      <c r="I251">
        <v>2220</v>
      </c>
    </row>
    <row r="252" spans="1:9" x14ac:dyDescent="0.3">
      <c r="A252" t="s">
        <v>525</v>
      </c>
      <c r="B252" s="1">
        <v>44746</v>
      </c>
      <c r="C252" t="s">
        <v>526</v>
      </c>
      <c r="D252" t="s">
        <v>69</v>
      </c>
      <c r="E252" t="s">
        <v>19</v>
      </c>
      <c r="F252">
        <v>26</v>
      </c>
      <c r="G252">
        <v>4118</v>
      </c>
      <c r="H252">
        <v>107065</v>
      </c>
      <c r="I252">
        <v>1740</v>
      </c>
    </row>
    <row r="253" spans="1:9" x14ac:dyDescent="0.3">
      <c r="A253" t="s">
        <v>527</v>
      </c>
      <c r="B253" s="1">
        <v>44374</v>
      </c>
      <c r="C253" t="s">
        <v>528</v>
      </c>
      <c r="D253" t="s">
        <v>18</v>
      </c>
      <c r="E253" t="s">
        <v>19</v>
      </c>
      <c r="F253">
        <v>29</v>
      </c>
      <c r="G253">
        <v>5327</v>
      </c>
      <c r="H253">
        <v>154489</v>
      </c>
      <c r="I253">
        <v>2802</v>
      </c>
    </row>
    <row r="254" spans="1:9" x14ac:dyDescent="0.3">
      <c r="A254" t="s">
        <v>529</v>
      </c>
      <c r="B254" s="1">
        <v>45264</v>
      </c>
      <c r="C254" t="s">
        <v>530</v>
      </c>
      <c r="D254" t="s">
        <v>36</v>
      </c>
      <c r="E254" t="s">
        <v>19</v>
      </c>
      <c r="F254">
        <v>16</v>
      </c>
      <c r="G254">
        <v>4741</v>
      </c>
      <c r="H254">
        <v>75850</v>
      </c>
      <c r="I254">
        <v>3101</v>
      </c>
    </row>
    <row r="255" spans="1:9" x14ac:dyDescent="0.3">
      <c r="A255" t="s">
        <v>531</v>
      </c>
      <c r="B255" s="1">
        <v>44782</v>
      </c>
      <c r="C255" t="s">
        <v>532</v>
      </c>
      <c r="D255" t="s">
        <v>22</v>
      </c>
      <c r="E255" t="s">
        <v>19</v>
      </c>
      <c r="F255">
        <v>5</v>
      </c>
      <c r="G255">
        <v>5889</v>
      </c>
      <c r="H255">
        <v>29444</v>
      </c>
      <c r="I255">
        <v>2204</v>
      </c>
    </row>
    <row r="256" spans="1:9" x14ac:dyDescent="0.3">
      <c r="A256" t="s">
        <v>533</v>
      </c>
      <c r="B256" s="1">
        <v>43929</v>
      </c>
      <c r="C256" t="s">
        <v>534</v>
      </c>
      <c r="D256" t="s">
        <v>15</v>
      </c>
      <c r="E256" t="s">
        <v>19</v>
      </c>
      <c r="F256">
        <v>13</v>
      </c>
      <c r="G256">
        <v>4982</v>
      </c>
      <c r="H256">
        <v>64763</v>
      </c>
      <c r="I256">
        <v>3516</v>
      </c>
    </row>
    <row r="257" spans="1:9" x14ac:dyDescent="0.3">
      <c r="A257" t="s">
        <v>535</v>
      </c>
      <c r="B257" s="1">
        <v>45219</v>
      </c>
      <c r="C257" t="s">
        <v>536</v>
      </c>
      <c r="D257" t="s">
        <v>11</v>
      </c>
      <c r="E257" t="s">
        <v>13</v>
      </c>
      <c r="F257">
        <v>6</v>
      </c>
      <c r="G257">
        <v>6276</v>
      </c>
      <c r="H257">
        <v>37658</v>
      </c>
      <c r="I257">
        <v>2264</v>
      </c>
    </row>
    <row r="258" spans="1:9" x14ac:dyDescent="0.3">
      <c r="A258" t="s">
        <v>537</v>
      </c>
      <c r="B258" s="1">
        <v>45204</v>
      </c>
      <c r="C258" t="s">
        <v>538</v>
      </c>
      <c r="D258" t="s">
        <v>32</v>
      </c>
      <c r="E258" t="s">
        <v>19</v>
      </c>
      <c r="F258">
        <v>52</v>
      </c>
      <c r="G258">
        <v>5315</v>
      </c>
      <c r="H258">
        <v>276376</v>
      </c>
      <c r="I258">
        <v>9062</v>
      </c>
    </row>
    <row r="259" spans="1:9" x14ac:dyDescent="0.3">
      <c r="A259" t="s">
        <v>539</v>
      </c>
      <c r="B259" s="1">
        <v>44826</v>
      </c>
      <c r="C259" t="s">
        <v>540</v>
      </c>
      <c r="D259" t="s">
        <v>89</v>
      </c>
      <c r="E259" t="s">
        <v>13</v>
      </c>
      <c r="F259">
        <v>26</v>
      </c>
      <c r="G259">
        <v>4414</v>
      </c>
      <c r="H259">
        <v>114762</v>
      </c>
      <c r="I259">
        <v>1168</v>
      </c>
    </row>
    <row r="260" spans="1:9" x14ac:dyDescent="0.3">
      <c r="A260" t="s">
        <v>541</v>
      </c>
      <c r="B260" s="1">
        <v>45692</v>
      </c>
      <c r="C260" t="s">
        <v>542</v>
      </c>
      <c r="D260" t="s">
        <v>8</v>
      </c>
      <c r="E260" t="s">
        <v>19</v>
      </c>
      <c r="F260">
        <v>60</v>
      </c>
      <c r="G260">
        <v>5750</v>
      </c>
      <c r="H260">
        <v>344994</v>
      </c>
      <c r="I260">
        <v>7074</v>
      </c>
    </row>
    <row r="261" spans="1:9" x14ac:dyDescent="0.3">
      <c r="A261" t="s">
        <v>543</v>
      </c>
      <c r="B261" s="1">
        <v>44846</v>
      </c>
      <c r="C261" t="s">
        <v>544</v>
      </c>
      <c r="D261" t="s">
        <v>36</v>
      </c>
      <c r="E261" t="s">
        <v>13</v>
      </c>
      <c r="F261">
        <v>27</v>
      </c>
      <c r="G261">
        <v>4692</v>
      </c>
      <c r="H261">
        <v>126674</v>
      </c>
      <c r="I261">
        <v>1076</v>
      </c>
    </row>
    <row r="262" spans="1:9" x14ac:dyDescent="0.3">
      <c r="A262" t="s">
        <v>545</v>
      </c>
      <c r="B262" s="1">
        <v>45049</v>
      </c>
      <c r="C262" t="s">
        <v>546</v>
      </c>
      <c r="D262" t="s">
        <v>77</v>
      </c>
      <c r="E262" t="s">
        <v>7</v>
      </c>
      <c r="F262">
        <v>30</v>
      </c>
      <c r="G262">
        <v>2898</v>
      </c>
      <c r="H262">
        <v>86928</v>
      </c>
      <c r="I262">
        <v>2808</v>
      </c>
    </row>
    <row r="263" spans="1:9" x14ac:dyDescent="0.3">
      <c r="A263" t="s">
        <v>547</v>
      </c>
      <c r="B263" s="1">
        <v>44838</v>
      </c>
      <c r="C263" t="s">
        <v>548</v>
      </c>
      <c r="D263" t="s">
        <v>29</v>
      </c>
      <c r="E263" t="s">
        <v>19</v>
      </c>
      <c r="F263">
        <v>6</v>
      </c>
      <c r="G263">
        <v>2405</v>
      </c>
      <c r="H263">
        <v>14431</v>
      </c>
      <c r="I263">
        <v>505</v>
      </c>
    </row>
    <row r="264" spans="1:9" x14ac:dyDescent="0.3">
      <c r="A264" t="s">
        <v>549</v>
      </c>
      <c r="B264" s="1">
        <v>45525</v>
      </c>
      <c r="C264" t="s">
        <v>550</v>
      </c>
      <c r="D264" t="s">
        <v>77</v>
      </c>
      <c r="E264" t="s">
        <v>7</v>
      </c>
      <c r="F264">
        <v>6</v>
      </c>
      <c r="G264">
        <v>5810</v>
      </c>
      <c r="H264">
        <v>34862</v>
      </c>
      <c r="I264">
        <v>482</v>
      </c>
    </row>
    <row r="265" spans="1:9" x14ac:dyDescent="0.3">
      <c r="A265" t="s">
        <v>551</v>
      </c>
      <c r="B265" s="1">
        <v>44520</v>
      </c>
      <c r="C265" t="s">
        <v>552</v>
      </c>
      <c r="D265" t="s">
        <v>9</v>
      </c>
      <c r="E265" t="s">
        <v>19</v>
      </c>
      <c r="F265">
        <v>24</v>
      </c>
      <c r="G265">
        <v>7513</v>
      </c>
      <c r="H265">
        <v>180318</v>
      </c>
      <c r="I265">
        <v>1734</v>
      </c>
    </row>
    <row r="266" spans="1:9" x14ac:dyDescent="0.3">
      <c r="A266" t="s">
        <v>553</v>
      </c>
      <c r="B266" s="1">
        <v>44985</v>
      </c>
      <c r="C266" t="s">
        <v>554</v>
      </c>
      <c r="D266" t="s">
        <v>22</v>
      </c>
      <c r="E266" t="s">
        <v>13</v>
      </c>
      <c r="F266">
        <v>26</v>
      </c>
      <c r="G266">
        <v>7069</v>
      </c>
      <c r="H266">
        <v>183806</v>
      </c>
      <c r="I266">
        <v>4710</v>
      </c>
    </row>
    <row r="267" spans="1:9" x14ac:dyDescent="0.3">
      <c r="A267" t="s">
        <v>555</v>
      </c>
      <c r="B267" s="1">
        <v>44620</v>
      </c>
      <c r="C267" t="s">
        <v>556</v>
      </c>
      <c r="D267" t="s">
        <v>89</v>
      </c>
      <c r="E267" t="s">
        <v>13</v>
      </c>
      <c r="F267">
        <v>26</v>
      </c>
      <c r="G267">
        <v>1334</v>
      </c>
      <c r="H267">
        <v>34684</v>
      </c>
      <c r="I267">
        <v>1940</v>
      </c>
    </row>
    <row r="268" spans="1:9" x14ac:dyDescent="0.3">
      <c r="A268" t="s">
        <v>557</v>
      </c>
      <c r="B268" s="1">
        <v>45407</v>
      </c>
      <c r="C268" t="s">
        <v>558</v>
      </c>
      <c r="D268" t="s">
        <v>22</v>
      </c>
      <c r="E268" t="s">
        <v>13</v>
      </c>
      <c r="F268">
        <v>63</v>
      </c>
      <c r="G268">
        <v>7479</v>
      </c>
      <c r="H268">
        <v>471207</v>
      </c>
      <c r="I268">
        <v>13296</v>
      </c>
    </row>
    <row r="269" spans="1:9" x14ac:dyDescent="0.3">
      <c r="A269" t="s">
        <v>559</v>
      </c>
      <c r="B269" s="1">
        <v>45501</v>
      </c>
      <c r="C269" t="s">
        <v>560</v>
      </c>
      <c r="D269" t="s">
        <v>77</v>
      </c>
      <c r="E269" t="s">
        <v>13</v>
      </c>
      <c r="F269">
        <v>19</v>
      </c>
      <c r="G269">
        <v>2499</v>
      </c>
      <c r="H269">
        <v>47481</v>
      </c>
      <c r="I269">
        <v>2247</v>
      </c>
    </row>
    <row r="270" spans="1:9" x14ac:dyDescent="0.3">
      <c r="A270" t="s">
        <v>561</v>
      </c>
      <c r="B270" s="1">
        <v>45137</v>
      </c>
      <c r="C270" t="s">
        <v>562</v>
      </c>
      <c r="D270" t="s">
        <v>15</v>
      </c>
      <c r="E270" t="s">
        <v>13</v>
      </c>
      <c r="F270">
        <v>19</v>
      </c>
      <c r="G270">
        <v>4324</v>
      </c>
      <c r="H270">
        <v>82152</v>
      </c>
      <c r="I270">
        <v>2830</v>
      </c>
    </row>
    <row r="271" spans="1:9" x14ac:dyDescent="0.3">
      <c r="A271" t="s">
        <v>563</v>
      </c>
      <c r="B271" s="1">
        <v>45570</v>
      </c>
      <c r="C271" t="s">
        <v>564</v>
      </c>
      <c r="D271" t="s">
        <v>22</v>
      </c>
      <c r="E271" t="s">
        <v>19</v>
      </c>
      <c r="F271">
        <v>13</v>
      </c>
      <c r="G271">
        <v>5951</v>
      </c>
      <c r="H271">
        <v>77363</v>
      </c>
      <c r="I271">
        <v>1983</v>
      </c>
    </row>
    <row r="272" spans="1:9" x14ac:dyDescent="0.3">
      <c r="A272" t="s">
        <v>565</v>
      </c>
      <c r="B272" s="1">
        <v>45342</v>
      </c>
      <c r="C272" t="s">
        <v>566</v>
      </c>
      <c r="D272" t="s">
        <v>34</v>
      </c>
      <c r="E272" t="s">
        <v>19</v>
      </c>
      <c r="F272">
        <v>8</v>
      </c>
      <c r="G272">
        <v>5890</v>
      </c>
      <c r="H272">
        <v>47116</v>
      </c>
      <c r="I272">
        <v>1148</v>
      </c>
    </row>
    <row r="273" spans="1:9" x14ac:dyDescent="0.3">
      <c r="A273" t="s">
        <v>567</v>
      </c>
      <c r="B273" s="1">
        <v>45228</v>
      </c>
      <c r="C273" t="s">
        <v>568</v>
      </c>
      <c r="D273" t="s">
        <v>15</v>
      </c>
      <c r="E273" t="s">
        <v>7</v>
      </c>
      <c r="F273">
        <v>8</v>
      </c>
      <c r="G273">
        <v>9888</v>
      </c>
      <c r="H273">
        <v>79106</v>
      </c>
      <c r="I273">
        <v>3602</v>
      </c>
    </row>
    <row r="274" spans="1:9" x14ac:dyDescent="0.3">
      <c r="A274" t="s">
        <v>569</v>
      </c>
      <c r="B274" s="1">
        <v>44903</v>
      </c>
      <c r="C274" t="s">
        <v>570</v>
      </c>
      <c r="D274" t="s">
        <v>77</v>
      </c>
      <c r="E274" t="s">
        <v>13</v>
      </c>
      <c r="F274">
        <v>108</v>
      </c>
      <c r="G274">
        <v>5876</v>
      </c>
      <c r="H274">
        <v>634560</v>
      </c>
      <c r="I274">
        <v>14332</v>
      </c>
    </row>
    <row r="275" spans="1:9" x14ac:dyDescent="0.3">
      <c r="A275" t="s">
        <v>571</v>
      </c>
      <c r="B275" s="1">
        <v>45500</v>
      </c>
      <c r="C275" t="s">
        <v>572</v>
      </c>
      <c r="D275" t="s">
        <v>32</v>
      </c>
      <c r="E275" t="s">
        <v>13</v>
      </c>
      <c r="F275">
        <v>14</v>
      </c>
      <c r="G275">
        <v>7433</v>
      </c>
      <c r="H275">
        <v>104060</v>
      </c>
      <c r="I275">
        <v>3330</v>
      </c>
    </row>
    <row r="276" spans="1:9" x14ac:dyDescent="0.3">
      <c r="A276" t="s">
        <v>573</v>
      </c>
      <c r="B276" s="1">
        <v>45477</v>
      </c>
      <c r="C276" t="s">
        <v>574</v>
      </c>
      <c r="D276" t="s">
        <v>43</v>
      </c>
      <c r="E276" t="s">
        <v>19</v>
      </c>
      <c r="F276">
        <v>18</v>
      </c>
      <c r="G276">
        <v>3151</v>
      </c>
      <c r="H276">
        <v>56721</v>
      </c>
      <c r="I276">
        <v>957</v>
      </c>
    </row>
    <row r="277" spans="1:9" x14ac:dyDescent="0.3">
      <c r="A277" t="s">
        <v>575</v>
      </c>
      <c r="B277" s="1">
        <v>45660</v>
      </c>
      <c r="C277" t="s">
        <v>576</v>
      </c>
      <c r="D277" t="s">
        <v>36</v>
      </c>
      <c r="E277" t="s">
        <v>19</v>
      </c>
      <c r="F277">
        <v>36</v>
      </c>
      <c r="G277">
        <v>5478</v>
      </c>
      <c r="H277">
        <v>197216</v>
      </c>
      <c r="I277">
        <v>2384</v>
      </c>
    </row>
    <row r="278" spans="1:9" x14ac:dyDescent="0.3">
      <c r="A278" t="s">
        <v>577</v>
      </c>
      <c r="B278" s="1">
        <v>44537</v>
      </c>
      <c r="C278" t="s">
        <v>578</v>
      </c>
      <c r="D278" t="s">
        <v>22</v>
      </c>
      <c r="E278" t="s">
        <v>19</v>
      </c>
      <c r="F278">
        <v>11</v>
      </c>
      <c r="G278">
        <v>1459</v>
      </c>
      <c r="H278">
        <v>16053</v>
      </c>
      <c r="I278">
        <v>686</v>
      </c>
    </row>
    <row r="279" spans="1:9" x14ac:dyDescent="0.3">
      <c r="A279" t="s">
        <v>579</v>
      </c>
      <c r="B279" s="1">
        <v>44544</v>
      </c>
      <c r="C279" t="s">
        <v>580</v>
      </c>
      <c r="D279" t="s">
        <v>46</v>
      </c>
      <c r="E279" t="s">
        <v>13</v>
      </c>
      <c r="F279">
        <v>66</v>
      </c>
      <c r="G279">
        <v>5478</v>
      </c>
      <c r="H279">
        <v>361570</v>
      </c>
      <c r="I279">
        <v>3110</v>
      </c>
    </row>
    <row r="280" spans="1:9" x14ac:dyDescent="0.3">
      <c r="A280" t="s">
        <v>581</v>
      </c>
      <c r="B280" s="1">
        <v>44559</v>
      </c>
      <c r="C280" t="s">
        <v>582</v>
      </c>
      <c r="D280" t="s">
        <v>11</v>
      </c>
      <c r="E280" t="s">
        <v>13</v>
      </c>
      <c r="F280">
        <v>33</v>
      </c>
      <c r="G280">
        <v>5853</v>
      </c>
      <c r="H280">
        <v>193157</v>
      </c>
      <c r="I280">
        <v>2319</v>
      </c>
    </row>
    <row r="281" spans="1:9" x14ac:dyDescent="0.3">
      <c r="A281" t="s">
        <v>583</v>
      </c>
      <c r="B281" s="1">
        <v>45481</v>
      </c>
      <c r="C281" t="s">
        <v>584</v>
      </c>
      <c r="D281" t="s">
        <v>11</v>
      </c>
      <c r="E281" t="s">
        <v>13</v>
      </c>
      <c r="F281">
        <v>6</v>
      </c>
      <c r="G281">
        <v>10065</v>
      </c>
      <c r="H281">
        <v>60389</v>
      </c>
      <c r="I281">
        <v>2471</v>
      </c>
    </row>
    <row r="282" spans="1:9" x14ac:dyDescent="0.3">
      <c r="A282" t="s">
        <v>585</v>
      </c>
      <c r="B282" s="1">
        <v>44237</v>
      </c>
      <c r="C282" t="s">
        <v>586</v>
      </c>
      <c r="D282" t="s">
        <v>89</v>
      </c>
      <c r="E282" t="s">
        <v>19</v>
      </c>
      <c r="F282">
        <v>10</v>
      </c>
      <c r="G282">
        <v>9118</v>
      </c>
      <c r="H282">
        <v>91178</v>
      </c>
      <c r="I282">
        <v>1728</v>
      </c>
    </row>
    <row r="283" spans="1:9" x14ac:dyDescent="0.3">
      <c r="A283" t="s">
        <v>587</v>
      </c>
      <c r="B283" s="1">
        <v>45033</v>
      </c>
      <c r="C283" t="s">
        <v>588</v>
      </c>
      <c r="D283" t="s">
        <v>34</v>
      </c>
      <c r="E283" t="s">
        <v>19</v>
      </c>
      <c r="F283">
        <v>26</v>
      </c>
      <c r="G283">
        <v>4022</v>
      </c>
      <c r="H283">
        <v>104584</v>
      </c>
      <c r="I283">
        <v>402</v>
      </c>
    </row>
    <row r="284" spans="1:9" x14ac:dyDescent="0.3">
      <c r="A284" t="s">
        <v>589</v>
      </c>
      <c r="B284" s="1">
        <v>44125</v>
      </c>
      <c r="C284" t="s">
        <v>590</v>
      </c>
      <c r="D284" t="s">
        <v>77</v>
      </c>
      <c r="E284" t="s">
        <v>19</v>
      </c>
      <c r="F284">
        <v>18</v>
      </c>
      <c r="G284">
        <v>823</v>
      </c>
      <c r="H284">
        <v>14811</v>
      </c>
      <c r="I284">
        <v>231</v>
      </c>
    </row>
    <row r="285" spans="1:9" x14ac:dyDescent="0.3">
      <c r="A285" t="s">
        <v>591</v>
      </c>
      <c r="B285" s="1">
        <v>45288</v>
      </c>
      <c r="C285" t="s">
        <v>592</v>
      </c>
      <c r="D285" t="s">
        <v>32</v>
      </c>
      <c r="E285" t="s">
        <v>19</v>
      </c>
      <c r="F285">
        <v>26</v>
      </c>
      <c r="G285">
        <v>9854</v>
      </c>
      <c r="H285">
        <v>256195</v>
      </c>
      <c r="I285">
        <v>6161</v>
      </c>
    </row>
    <row r="286" spans="1:9" x14ac:dyDescent="0.3">
      <c r="A286" t="s">
        <v>593</v>
      </c>
      <c r="B286" s="1">
        <v>44918</v>
      </c>
      <c r="C286" t="s">
        <v>594</v>
      </c>
      <c r="D286" t="s">
        <v>32</v>
      </c>
      <c r="E286" t="s">
        <v>13</v>
      </c>
      <c r="F286">
        <v>64</v>
      </c>
      <c r="G286">
        <v>5178</v>
      </c>
      <c r="H286">
        <v>331390</v>
      </c>
      <c r="I286">
        <v>8438</v>
      </c>
    </row>
    <row r="287" spans="1:9" x14ac:dyDescent="0.3">
      <c r="A287" t="s">
        <v>595</v>
      </c>
      <c r="B287" s="1">
        <v>45216</v>
      </c>
      <c r="C287" t="s">
        <v>596</v>
      </c>
      <c r="D287" t="s">
        <v>15</v>
      </c>
      <c r="E287" t="s">
        <v>13</v>
      </c>
      <c r="F287">
        <v>20</v>
      </c>
      <c r="G287">
        <v>3980</v>
      </c>
      <c r="H287">
        <v>79610</v>
      </c>
      <c r="I287">
        <v>2830</v>
      </c>
    </row>
    <row r="288" spans="1:9" x14ac:dyDescent="0.3">
      <c r="A288" t="s">
        <v>597</v>
      </c>
      <c r="B288" s="1">
        <v>45436</v>
      </c>
      <c r="C288" t="s">
        <v>598</v>
      </c>
      <c r="D288" t="s">
        <v>43</v>
      </c>
      <c r="E288" t="s">
        <v>7</v>
      </c>
      <c r="F288">
        <v>13</v>
      </c>
      <c r="G288">
        <v>2895</v>
      </c>
      <c r="H288">
        <v>37636</v>
      </c>
      <c r="I288">
        <v>482</v>
      </c>
    </row>
    <row r="289" spans="1:9" x14ac:dyDescent="0.3">
      <c r="A289" t="s">
        <v>599</v>
      </c>
      <c r="B289" s="1">
        <v>44106</v>
      </c>
      <c r="C289" t="s">
        <v>600</v>
      </c>
      <c r="D289" t="s">
        <v>22</v>
      </c>
      <c r="E289" t="s">
        <v>19</v>
      </c>
      <c r="F289">
        <v>24</v>
      </c>
      <c r="G289">
        <v>2564</v>
      </c>
      <c r="H289">
        <v>61543</v>
      </c>
      <c r="I289">
        <v>1927</v>
      </c>
    </row>
    <row r="290" spans="1:9" x14ac:dyDescent="0.3">
      <c r="A290" t="s">
        <v>601</v>
      </c>
      <c r="B290" s="1">
        <v>45332</v>
      </c>
      <c r="C290" t="s">
        <v>602</v>
      </c>
      <c r="D290" t="s">
        <v>46</v>
      </c>
      <c r="E290" t="s">
        <v>19</v>
      </c>
      <c r="F290">
        <v>30</v>
      </c>
      <c r="G290">
        <v>3977</v>
      </c>
      <c r="H290">
        <v>119312</v>
      </c>
      <c r="I290">
        <v>1922</v>
      </c>
    </row>
    <row r="291" spans="1:9" x14ac:dyDescent="0.3">
      <c r="A291" t="s">
        <v>603</v>
      </c>
      <c r="B291" s="1">
        <v>44636</v>
      </c>
      <c r="C291" t="s">
        <v>604</v>
      </c>
      <c r="D291" t="s">
        <v>77</v>
      </c>
      <c r="E291" t="s">
        <v>13</v>
      </c>
      <c r="F291">
        <v>9</v>
      </c>
      <c r="G291">
        <v>4684</v>
      </c>
      <c r="H291">
        <v>42152</v>
      </c>
      <c r="I291">
        <v>1940</v>
      </c>
    </row>
    <row r="292" spans="1:9" x14ac:dyDescent="0.3">
      <c r="A292" t="s">
        <v>605</v>
      </c>
      <c r="B292" s="1">
        <v>45704</v>
      </c>
      <c r="C292" t="s">
        <v>606</v>
      </c>
      <c r="D292" t="s">
        <v>32</v>
      </c>
      <c r="E292" t="s">
        <v>19</v>
      </c>
      <c r="F292">
        <v>112</v>
      </c>
      <c r="G292">
        <v>3146</v>
      </c>
      <c r="H292">
        <v>352408</v>
      </c>
      <c r="I292">
        <v>9804</v>
      </c>
    </row>
    <row r="293" spans="1:9" x14ac:dyDescent="0.3">
      <c r="A293" t="s">
        <v>607</v>
      </c>
      <c r="B293" s="1">
        <v>44741</v>
      </c>
      <c r="C293" t="s">
        <v>608</v>
      </c>
      <c r="D293" t="s">
        <v>9</v>
      </c>
      <c r="E293" t="s">
        <v>13</v>
      </c>
      <c r="F293">
        <v>45</v>
      </c>
      <c r="G293">
        <v>7383</v>
      </c>
      <c r="H293">
        <v>332236</v>
      </c>
      <c r="I293">
        <v>6927</v>
      </c>
    </row>
    <row r="294" spans="1:9" x14ac:dyDescent="0.3">
      <c r="A294" t="s">
        <v>609</v>
      </c>
      <c r="B294" s="1">
        <v>44868</v>
      </c>
      <c r="C294" t="s">
        <v>610</v>
      </c>
      <c r="D294" t="s">
        <v>43</v>
      </c>
      <c r="E294" t="s">
        <v>7</v>
      </c>
      <c r="F294">
        <v>12</v>
      </c>
      <c r="G294">
        <v>5518</v>
      </c>
      <c r="H294">
        <v>66217</v>
      </c>
      <c r="I294">
        <v>673</v>
      </c>
    </row>
    <row r="295" spans="1:9" x14ac:dyDescent="0.3">
      <c r="A295" t="s">
        <v>611</v>
      </c>
      <c r="B295" s="1">
        <v>45258</v>
      </c>
      <c r="C295" t="s">
        <v>612</v>
      </c>
      <c r="D295" t="s">
        <v>77</v>
      </c>
      <c r="E295" t="s">
        <v>7</v>
      </c>
      <c r="F295">
        <v>18</v>
      </c>
      <c r="G295">
        <v>6417</v>
      </c>
      <c r="H295">
        <v>115500</v>
      </c>
      <c r="I295">
        <v>444</v>
      </c>
    </row>
    <row r="296" spans="1:9" x14ac:dyDescent="0.3">
      <c r="A296" t="s">
        <v>613</v>
      </c>
      <c r="B296" s="1">
        <v>43946</v>
      </c>
      <c r="C296" t="s">
        <v>614</v>
      </c>
      <c r="D296" t="s">
        <v>15</v>
      </c>
      <c r="E296" t="s">
        <v>7</v>
      </c>
      <c r="F296">
        <v>3</v>
      </c>
      <c r="G296">
        <v>9281</v>
      </c>
      <c r="H296">
        <v>27842</v>
      </c>
      <c r="I296">
        <v>1724</v>
      </c>
    </row>
    <row r="297" spans="1:9" x14ac:dyDescent="0.3">
      <c r="A297" t="s">
        <v>615</v>
      </c>
      <c r="B297" s="1">
        <v>44579</v>
      </c>
      <c r="C297" t="s">
        <v>616</v>
      </c>
      <c r="D297" t="s">
        <v>8</v>
      </c>
      <c r="E297" t="s">
        <v>13</v>
      </c>
      <c r="F297">
        <v>29</v>
      </c>
      <c r="G297">
        <v>6109</v>
      </c>
      <c r="H297">
        <v>177166</v>
      </c>
      <c r="I297">
        <v>6529</v>
      </c>
    </row>
    <row r="298" spans="1:9" x14ac:dyDescent="0.3">
      <c r="A298" t="s">
        <v>617</v>
      </c>
      <c r="B298" s="1">
        <v>45620</v>
      </c>
      <c r="C298" t="s">
        <v>618</v>
      </c>
      <c r="D298" t="s">
        <v>32</v>
      </c>
      <c r="E298" t="s">
        <v>19</v>
      </c>
      <c r="F298">
        <v>198</v>
      </c>
      <c r="G298">
        <v>619</v>
      </c>
      <c r="H298">
        <v>122658</v>
      </c>
      <c r="I298">
        <v>2010</v>
      </c>
    </row>
    <row r="299" spans="1:9" x14ac:dyDescent="0.3">
      <c r="A299" t="s">
        <v>619</v>
      </c>
      <c r="B299" s="1">
        <v>45125</v>
      </c>
      <c r="C299" t="s">
        <v>620</v>
      </c>
      <c r="D299" t="s">
        <v>32</v>
      </c>
      <c r="E299" t="s">
        <v>19</v>
      </c>
      <c r="F299">
        <v>44</v>
      </c>
      <c r="G299">
        <v>5618</v>
      </c>
      <c r="H299">
        <v>247182</v>
      </c>
      <c r="I299">
        <v>3322</v>
      </c>
    </row>
    <row r="300" spans="1:9" x14ac:dyDescent="0.3">
      <c r="A300" t="s">
        <v>621</v>
      </c>
      <c r="B300" s="1">
        <v>45459</v>
      </c>
      <c r="C300" t="s">
        <v>622</v>
      </c>
      <c r="D300" t="s">
        <v>46</v>
      </c>
      <c r="E300" t="s">
        <v>19</v>
      </c>
      <c r="F300">
        <v>38</v>
      </c>
      <c r="G300">
        <v>2666</v>
      </c>
      <c r="H300">
        <v>101322</v>
      </c>
      <c r="I300">
        <v>128</v>
      </c>
    </row>
    <row r="301" spans="1:9" x14ac:dyDescent="0.3">
      <c r="A301" t="s">
        <v>623</v>
      </c>
      <c r="B301" s="1">
        <v>44856</v>
      </c>
      <c r="C301" t="s">
        <v>624</v>
      </c>
      <c r="D301" t="s">
        <v>69</v>
      </c>
      <c r="E301" t="s">
        <v>7</v>
      </c>
      <c r="F301">
        <v>5</v>
      </c>
      <c r="G301">
        <v>5487</v>
      </c>
      <c r="H301">
        <v>27435</v>
      </c>
      <c r="I301">
        <v>1680</v>
      </c>
    </row>
    <row r="302" spans="1:9" x14ac:dyDescent="0.3">
      <c r="A302" t="s">
        <v>625</v>
      </c>
      <c r="B302" s="1">
        <v>45124</v>
      </c>
      <c r="C302" t="s">
        <v>626</v>
      </c>
      <c r="D302" t="s">
        <v>32</v>
      </c>
      <c r="E302" t="s">
        <v>13</v>
      </c>
      <c r="F302">
        <v>8</v>
      </c>
      <c r="G302">
        <v>2526</v>
      </c>
      <c r="H302">
        <v>20207</v>
      </c>
      <c r="I302">
        <v>95</v>
      </c>
    </row>
    <row r="303" spans="1:9" x14ac:dyDescent="0.3">
      <c r="A303" t="s">
        <v>627</v>
      </c>
      <c r="B303" s="1">
        <v>45712</v>
      </c>
      <c r="C303" t="s">
        <v>628</v>
      </c>
      <c r="D303" t="s">
        <v>22</v>
      </c>
      <c r="E303" t="s">
        <v>19</v>
      </c>
      <c r="F303">
        <v>5</v>
      </c>
      <c r="G303">
        <v>6016</v>
      </c>
      <c r="H303">
        <v>30082</v>
      </c>
      <c r="I303">
        <v>4639</v>
      </c>
    </row>
    <row r="304" spans="1:9" x14ac:dyDescent="0.3">
      <c r="A304" t="s">
        <v>629</v>
      </c>
      <c r="B304" s="1">
        <v>44262</v>
      </c>
      <c r="C304" t="s">
        <v>630</v>
      </c>
      <c r="D304" t="s">
        <v>54</v>
      </c>
      <c r="E304" t="s">
        <v>19</v>
      </c>
      <c r="F304">
        <v>8</v>
      </c>
      <c r="G304">
        <v>5723</v>
      </c>
      <c r="H304">
        <v>45786</v>
      </c>
      <c r="I304">
        <v>2642</v>
      </c>
    </row>
    <row r="305" spans="1:9" x14ac:dyDescent="0.3">
      <c r="A305" t="s">
        <v>631</v>
      </c>
      <c r="B305" s="1">
        <v>44199</v>
      </c>
      <c r="C305" t="s">
        <v>632</v>
      </c>
      <c r="D305" t="s">
        <v>11</v>
      </c>
      <c r="E305" t="s">
        <v>7</v>
      </c>
      <c r="F305">
        <v>8</v>
      </c>
      <c r="G305">
        <v>2344</v>
      </c>
      <c r="H305">
        <v>18749</v>
      </c>
      <c r="I305">
        <v>509</v>
      </c>
    </row>
    <row r="306" spans="1:9" x14ac:dyDescent="0.3">
      <c r="A306" t="s">
        <v>633</v>
      </c>
      <c r="B306" s="1">
        <v>45049</v>
      </c>
      <c r="C306" t="s">
        <v>634</v>
      </c>
      <c r="D306" t="s">
        <v>54</v>
      </c>
      <c r="E306" t="s">
        <v>13</v>
      </c>
      <c r="F306">
        <v>9</v>
      </c>
      <c r="G306">
        <v>6756</v>
      </c>
      <c r="H306">
        <v>60803</v>
      </c>
      <c r="I306">
        <v>1439</v>
      </c>
    </row>
    <row r="307" spans="1:9" x14ac:dyDescent="0.3">
      <c r="A307" t="s">
        <v>635</v>
      </c>
      <c r="B307" s="1">
        <v>45224</v>
      </c>
      <c r="C307" t="s">
        <v>636</v>
      </c>
      <c r="D307" t="s">
        <v>18</v>
      </c>
      <c r="E307" t="s">
        <v>13</v>
      </c>
      <c r="F307">
        <v>5</v>
      </c>
      <c r="G307">
        <v>4889</v>
      </c>
      <c r="H307">
        <v>24446</v>
      </c>
      <c r="I307">
        <v>1896</v>
      </c>
    </row>
    <row r="308" spans="1:9" x14ac:dyDescent="0.3">
      <c r="A308" t="s">
        <v>637</v>
      </c>
      <c r="B308" s="1">
        <v>44794</v>
      </c>
      <c r="C308" t="s">
        <v>638</v>
      </c>
      <c r="D308" t="s">
        <v>22</v>
      </c>
      <c r="E308" t="s">
        <v>7</v>
      </c>
      <c r="F308">
        <v>18</v>
      </c>
      <c r="G308">
        <v>6209</v>
      </c>
      <c r="H308">
        <v>111764</v>
      </c>
      <c r="I308">
        <v>2378</v>
      </c>
    </row>
    <row r="309" spans="1:9" x14ac:dyDescent="0.3">
      <c r="A309" t="s">
        <v>639</v>
      </c>
      <c r="B309" s="1">
        <v>44667</v>
      </c>
      <c r="C309" t="s">
        <v>640</v>
      </c>
      <c r="D309" t="s">
        <v>49</v>
      </c>
      <c r="E309" t="s">
        <v>7</v>
      </c>
      <c r="F309">
        <v>17</v>
      </c>
      <c r="G309">
        <v>5527</v>
      </c>
      <c r="H309">
        <v>93953</v>
      </c>
      <c r="I309">
        <v>2510</v>
      </c>
    </row>
    <row r="310" spans="1:9" x14ac:dyDescent="0.3">
      <c r="A310" t="s">
        <v>641</v>
      </c>
      <c r="B310" s="1">
        <v>45018</v>
      </c>
      <c r="C310" t="s">
        <v>642</v>
      </c>
      <c r="D310" t="s">
        <v>36</v>
      </c>
      <c r="E310" t="s">
        <v>13</v>
      </c>
      <c r="F310">
        <v>16</v>
      </c>
      <c r="G310">
        <v>4733</v>
      </c>
      <c r="H310">
        <v>75724</v>
      </c>
      <c r="I310">
        <v>1660</v>
      </c>
    </row>
    <row r="311" spans="1:9" x14ac:dyDescent="0.3">
      <c r="A311" t="s">
        <v>643</v>
      </c>
      <c r="B311" s="1">
        <v>45586</v>
      </c>
      <c r="C311" t="s">
        <v>644</v>
      </c>
      <c r="D311" t="s">
        <v>9</v>
      </c>
      <c r="E311" t="s">
        <v>13</v>
      </c>
      <c r="F311">
        <v>34</v>
      </c>
      <c r="G311">
        <v>2968</v>
      </c>
      <c r="H311">
        <v>100909</v>
      </c>
      <c r="I311">
        <v>1573</v>
      </c>
    </row>
    <row r="312" spans="1:9" x14ac:dyDescent="0.3">
      <c r="A312" t="s">
        <v>645</v>
      </c>
      <c r="B312" s="1">
        <v>44659</v>
      </c>
      <c r="C312" t="s">
        <v>646</v>
      </c>
      <c r="D312" t="s">
        <v>29</v>
      </c>
      <c r="E312" t="s">
        <v>13</v>
      </c>
      <c r="F312">
        <v>30</v>
      </c>
      <c r="G312">
        <v>8104</v>
      </c>
      <c r="H312">
        <v>243132</v>
      </c>
      <c r="I312">
        <v>1872</v>
      </c>
    </row>
    <row r="313" spans="1:9" x14ac:dyDescent="0.3">
      <c r="A313" t="s">
        <v>647</v>
      </c>
      <c r="B313" s="1">
        <v>44681</v>
      </c>
      <c r="C313" t="s">
        <v>648</v>
      </c>
      <c r="D313" t="s">
        <v>43</v>
      </c>
      <c r="E313" t="s">
        <v>13</v>
      </c>
      <c r="F313">
        <v>10</v>
      </c>
      <c r="G313">
        <v>3972</v>
      </c>
      <c r="H313">
        <v>39721</v>
      </c>
      <c r="I313">
        <v>151</v>
      </c>
    </row>
    <row r="314" spans="1:9" x14ac:dyDescent="0.3">
      <c r="A314" t="s">
        <v>649</v>
      </c>
      <c r="B314" s="1">
        <v>44946</v>
      </c>
      <c r="C314" t="s">
        <v>650</v>
      </c>
      <c r="D314" t="s">
        <v>9</v>
      </c>
      <c r="E314" t="s">
        <v>13</v>
      </c>
      <c r="F314">
        <v>16</v>
      </c>
      <c r="G314">
        <v>8968</v>
      </c>
      <c r="H314">
        <v>143482</v>
      </c>
      <c r="I314">
        <v>3178</v>
      </c>
    </row>
    <row r="315" spans="1:9" x14ac:dyDescent="0.3">
      <c r="A315" t="s">
        <v>651</v>
      </c>
      <c r="B315" s="1">
        <v>45613</v>
      </c>
      <c r="C315" t="s">
        <v>652</v>
      </c>
      <c r="D315" t="s">
        <v>9</v>
      </c>
      <c r="E315" t="s">
        <v>13</v>
      </c>
      <c r="F315">
        <v>16</v>
      </c>
      <c r="G315">
        <v>3014</v>
      </c>
      <c r="H315">
        <v>48229</v>
      </c>
      <c r="I315">
        <v>917</v>
      </c>
    </row>
    <row r="316" spans="1:9" x14ac:dyDescent="0.3">
      <c r="A316" t="s">
        <v>653</v>
      </c>
      <c r="B316" s="1">
        <v>45706</v>
      </c>
      <c r="C316" t="s">
        <v>654</v>
      </c>
      <c r="D316" t="s">
        <v>32</v>
      </c>
      <c r="E316" t="s">
        <v>13</v>
      </c>
      <c r="F316">
        <v>12</v>
      </c>
      <c r="G316">
        <v>5778</v>
      </c>
      <c r="H316">
        <v>69342</v>
      </c>
      <c r="I316">
        <v>5214</v>
      </c>
    </row>
    <row r="317" spans="1:9" x14ac:dyDescent="0.3">
      <c r="A317" t="s">
        <v>655</v>
      </c>
      <c r="B317" s="1">
        <v>44578</v>
      </c>
      <c r="C317" t="s">
        <v>656</v>
      </c>
      <c r="D317" t="s">
        <v>36</v>
      </c>
      <c r="E317" t="s">
        <v>7</v>
      </c>
      <c r="F317">
        <v>38</v>
      </c>
      <c r="G317">
        <v>6173</v>
      </c>
      <c r="H317">
        <v>234560</v>
      </c>
      <c r="I317">
        <v>4242</v>
      </c>
    </row>
    <row r="318" spans="1:9" x14ac:dyDescent="0.3">
      <c r="A318" t="s">
        <v>657</v>
      </c>
      <c r="B318" s="1">
        <v>45672</v>
      </c>
      <c r="C318" t="s">
        <v>658</v>
      </c>
      <c r="D318" t="s">
        <v>22</v>
      </c>
      <c r="E318" t="s">
        <v>19</v>
      </c>
      <c r="F318">
        <v>7</v>
      </c>
      <c r="G318">
        <v>5651</v>
      </c>
      <c r="H318">
        <v>39560</v>
      </c>
      <c r="I318">
        <v>1928</v>
      </c>
    </row>
    <row r="319" spans="1:9" x14ac:dyDescent="0.3">
      <c r="A319" t="s">
        <v>659</v>
      </c>
      <c r="B319" s="1">
        <v>44241</v>
      </c>
      <c r="C319" t="s">
        <v>660</v>
      </c>
      <c r="D319" t="s">
        <v>8</v>
      </c>
      <c r="E319" t="s">
        <v>7</v>
      </c>
      <c r="F319">
        <v>8</v>
      </c>
      <c r="G319">
        <v>2918</v>
      </c>
      <c r="H319">
        <v>23344</v>
      </c>
      <c r="I319">
        <v>1008</v>
      </c>
    </row>
    <row r="320" spans="1:9" x14ac:dyDescent="0.3">
      <c r="A320" t="s">
        <v>661</v>
      </c>
      <c r="B320" s="1">
        <v>45535</v>
      </c>
      <c r="C320" t="s">
        <v>662</v>
      </c>
      <c r="D320" t="s">
        <v>34</v>
      </c>
      <c r="E320" t="s">
        <v>13</v>
      </c>
      <c r="F320">
        <v>10</v>
      </c>
      <c r="G320">
        <v>2994</v>
      </c>
      <c r="H320">
        <v>29938</v>
      </c>
      <c r="I320">
        <v>498</v>
      </c>
    </row>
    <row r="321" spans="1:9" x14ac:dyDescent="0.3">
      <c r="A321" t="s">
        <v>663</v>
      </c>
      <c r="B321" s="1">
        <v>45372</v>
      </c>
      <c r="C321" t="s">
        <v>664</v>
      </c>
      <c r="D321" t="s">
        <v>29</v>
      </c>
      <c r="E321" t="s">
        <v>13</v>
      </c>
      <c r="F321">
        <v>26</v>
      </c>
      <c r="G321">
        <v>4293</v>
      </c>
      <c r="H321">
        <v>111610</v>
      </c>
      <c r="I321">
        <v>1890</v>
      </c>
    </row>
    <row r="322" spans="1:9" x14ac:dyDescent="0.3">
      <c r="A322" t="s">
        <v>665</v>
      </c>
      <c r="B322" s="1">
        <v>45006</v>
      </c>
      <c r="C322" t="s">
        <v>666</v>
      </c>
      <c r="D322" t="s">
        <v>43</v>
      </c>
      <c r="E322" t="s">
        <v>13</v>
      </c>
      <c r="F322">
        <v>4</v>
      </c>
      <c r="G322">
        <v>8952</v>
      </c>
      <c r="H322">
        <v>35808</v>
      </c>
      <c r="I322">
        <v>1704</v>
      </c>
    </row>
    <row r="323" spans="1:9" x14ac:dyDescent="0.3">
      <c r="A323" t="s">
        <v>667</v>
      </c>
      <c r="B323" s="1">
        <v>45085</v>
      </c>
      <c r="C323" t="s">
        <v>668</v>
      </c>
      <c r="D323" t="s">
        <v>46</v>
      </c>
      <c r="E323" t="s">
        <v>19</v>
      </c>
      <c r="F323">
        <v>19</v>
      </c>
      <c r="G323">
        <v>8293</v>
      </c>
      <c r="H323">
        <v>157572</v>
      </c>
      <c r="I323">
        <v>1430</v>
      </c>
    </row>
    <row r="324" spans="1:9" x14ac:dyDescent="0.3">
      <c r="A324" t="s">
        <v>669</v>
      </c>
      <c r="B324" s="1">
        <v>45631</v>
      </c>
      <c r="C324" t="s">
        <v>670</v>
      </c>
      <c r="D324" t="s">
        <v>32</v>
      </c>
      <c r="E324" t="s">
        <v>19</v>
      </c>
      <c r="F324">
        <v>28</v>
      </c>
      <c r="G324">
        <v>2177</v>
      </c>
      <c r="H324">
        <v>60948</v>
      </c>
      <c r="I324">
        <v>1616</v>
      </c>
    </row>
    <row r="325" spans="1:9" x14ac:dyDescent="0.3">
      <c r="A325" t="s">
        <v>671</v>
      </c>
      <c r="B325" s="1">
        <v>45570</v>
      </c>
      <c r="C325" t="s">
        <v>672</v>
      </c>
      <c r="D325" t="s">
        <v>46</v>
      </c>
      <c r="E325" t="s">
        <v>13</v>
      </c>
      <c r="F325">
        <v>22</v>
      </c>
      <c r="G325">
        <v>2644</v>
      </c>
      <c r="H325">
        <v>58168</v>
      </c>
      <c r="I325">
        <v>1210</v>
      </c>
    </row>
    <row r="326" spans="1:9" x14ac:dyDescent="0.3">
      <c r="A326" t="s">
        <v>673</v>
      </c>
      <c r="B326" s="1">
        <v>44923</v>
      </c>
      <c r="C326" t="s">
        <v>674</v>
      </c>
      <c r="D326" t="s">
        <v>89</v>
      </c>
      <c r="E326" t="s">
        <v>7</v>
      </c>
      <c r="F326">
        <v>18</v>
      </c>
      <c r="G326">
        <v>3898</v>
      </c>
      <c r="H326">
        <v>70168</v>
      </c>
      <c r="I326">
        <v>2200</v>
      </c>
    </row>
    <row r="327" spans="1:9" x14ac:dyDescent="0.3">
      <c r="A327" t="s">
        <v>675</v>
      </c>
      <c r="B327" s="1">
        <v>45714</v>
      </c>
      <c r="C327" t="s">
        <v>676</v>
      </c>
      <c r="D327" t="s">
        <v>60</v>
      </c>
      <c r="E327" t="s">
        <v>19</v>
      </c>
      <c r="F327">
        <v>12</v>
      </c>
      <c r="G327">
        <v>5541</v>
      </c>
      <c r="H327">
        <v>66490</v>
      </c>
      <c r="I327">
        <v>1666</v>
      </c>
    </row>
    <row r="328" spans="1:9" x14ac:dyDescent="0.3">
      <c r="A328" t="s">
        <v>677</v>
      </c>
      <c r="B328" s="1">
        <v>44877</v>
      </c>
      <c r="C328" t="s">
        <v>678</v>
      </c>
      <c r="D328" t="s">
        <v>89</v>
      </c>
      <c r="E328" t="s">
        <v>13</v>
      </c>
      <c r="F328">
        <v>20</v>
      </c>
      <c r="G328">
        <v>5269</v>
      </c>
      <c r="H328">
        <v>105371</v>
      </c>
      <c r="I328">
        <v>3279</v>
      </c>
    </row>
    <row r="329" spans="1:9" x14ac:dyDescent="0.3">
      <c r="A329" t="s">
        <v>679</v>
      </c>
      <c r="B329" s="1">
        <v>44354</v>
      </c>
      <c r="C329" t="s">
        <v>680</v>
      </c>
      <c r="D329" t="s">
        <v>15</v>
      </c>
      <c r="E329" t="s">
        <v>13</v>
      </c>
      <c r="F329">
        <v>15</v>
      </c>
      <c r="G329">
        <v>1643</v>
      </c>
      <c r="H329">
        <v>24648</v>
      </c>
      <c r="I329">
        <v>258</v>
      </c>
    </row>
    <row r="330" spans="1:9" x14ac:dyDescent="0.3">
      <c r="A330" t="s">
        <v>681</v>
      </c>
      <c r="B330" s="1">
        <v>44100</v>
      </c>
      <c r="C330" t="s">
        <v>682</v>
      </c>
      <c r="D330" t="s">
        <v>8</v>
      </c>
      <c r="E330" t="s">
        <v>19</v>
      </c>
      <c r="F330">
        <v>7</v>
      </c>
      <c r="G330">
        <v>9417</v>
      </c>
      <c r="H330">
        <v>65919</v>
      </c>
      <c r="I330">
        <v>3962</v>
      </c>
    </row>
    <row r="331" spans="1:9" x14ac:dyDescent="0.3">
      <c r="A331" t="s">
        <v>683</v>
      </c>
      <c r="B331" s="1">
        <v>45411</v>
      </c>
      <c r="C331" t="s">
        <v>684</v>
      </c>
      <c r="D331" t="s">
        <v>32</v>
      </c>
      <c r="E331" t="s">
        <v>13</v>
      </c>
      <c r="F331">
        <v>31</v>
      </c>
      <c r="G331">
        <v>7236</v>
      </c>
      <c r="H331">
        <v>224313</v>
      </c>
      <c r="I331">
        <v>7275</v>
      </c>
    </row>
    <row r="332" spans="1:9" x14ac:dyDescent="0.3">
      <c r="A332" t="s">
        <v>685</v>
      </c>
      <c r="B332" s="1">
        <v>45392</v>
      </c>
      <c r="C332" t="s">
        <v>686</v>
      </c>
      <c r="D332" t="s">
        <v>22</v>
      </c>
      <c r="E332" t="s">
        <v>19</v>
      </c>
      <c r="F332">
        <v>8</v>
      </c>
      <c r="G332">
        <v>6956</v>
      </c>
      <c r="H332">
        <v>55649</v>
      </c>
      <c r="I332">
        <v>2673</v>
      </c>
    </row>
    <row r="333" spans="1:9" x14ac:dyDescent="0.3">
      <c r="A333" t="s">
        <v>687</v>
      </c>
      <c r="B333" s="1">
        <v>45281</v>
      </c>
      <c r="C333" t="s">
        <v>688</v>
      </c>
      <c r="D333" t="s">
        <v>36</v>
      </c>
      <c r="E333" t="s">
        <v>19</v>
      </c>
      <c r="F333">
        <v>17</v>
      </c>
      <c r="G333">
        <v>3272</v>
      </c>
      <c r="H333">
        <v>55627</v>
      </c>
      <c r="I333">
        <v>207</v>
      </c>
    </row>
    <row r="334" spans="1:9" x14ac:dyDescent="0.3">
      <c r="A334" t="s">
        <v>689</v>
      </c>
      <c r="B334" s="1">
        <v>45617</v>
      </c>
      <c r="C334" t="s">
        <v>690</v>
      </c>
      <c r="D334" t="s">
        <v>46</v>
      </c>
      <c r="E334" t="s">
        <v>19</v>
      </c>
      <c r="F334">
        <v>16</v>
      </c>
      <c r="G334">
        <v>8999</v>
      </c>
      <c r="H334">
        <v>143988</v>
      </c>
      <c r="I334">
        <v>4644</v>
      </c>
    </row>
    <row r="335" spans="1:9" x14ac:dyDescent="0.3">
      <c r="A335" t="s">
        <v>691</v>
      </c>
      <c r="B335" s="1">
        <v>45060</v>
      </c>
      <c r="C335" t="s">
        <v>692</v>
      </c>
      <c r="D335" t="s">
        <v>69</v>
      </c>
      <c r="E335" t="s">
        <v>13</v>
      </c>
      <c r="F335">
        <v>2</v>
      </c>
      <c r="G335">
        <v>5437</v>
      </c>
      <c r="H335">
        <v>10874</v>
      </c>
      <c r="I335">
        <v>374</v>
      </c>
    </row>
    <row r="336" spans="1:9" x14ac:dyDescent="0.3">
      <c r="A336" t="s">
        <v>693</v>
      </c>
      <c r="B336" s="1">
        <v>45572</v>
      </c>
      <c r="C336" t="s">
        <v>694</v>
      </c>
      <c r="D336" t="s">
        <v>29</v>
      </c>
      <c r="E336" t="s">
        <v>13</v>
      </c>
      <c r="F336">
        <v>40</v>
      </c>
      <c r="G336">
        <v>4162</v>
      </c>
      <c r="H336">
        <v>166482</v>
      </c>
      <c r="I336">
        <v>1842</v>
      </c>
    </row>
    <row r="337" spans="1:9" x14ac:dyDescent="0.3">
      <c r="A337" t="s">
        <v>695</v>
      </c>
      <c r="B337" s="1">
        <v>44427</v>
      </c>
      <c r="C337" t="s">
        <v>696</v>
      </c>
      <c r="D337" t="s">
        <v>18</v>
      </c>
      <c r="E337" t="s">
        <v>13</v>
      </c>
      <c r="F337">
        <v>15</v>
      </c>
      <c r="G337">
        <v>1137</v>
      </c>
      <c r="H337">
        <v>17053</v>
      </c>
      <c r="I337">
        <v>418</v>
      </c>
    </row>
    <row r="338" spans="1:9" x14ac:dyDescent="0.3">
      <c r="A338" t="s">
        <v>697</v>
      </c>
      <c r="B338" s="1">
        <v>44846</v>
      </c>
      <c r="C338" t="s">
        <v>299</v>
      </c>
      <c r="D338" t="s">
        <v>77</v>
      </c>
      <c r="E338" t="s">
        <v>13</v>
      </c>
      <c r="F338">
        <v>51</v>
      </c>
      <c r="G338">
        <v>6281</v>
      </c>
      <c r="H338">
        <v>320352</v>
      </c>
      <c r="I338">
        <v>3669</v>
      </c>
    </row>
    <row r="339" spans="1:9" x14ac:dyDescent="0.3">
      <c r="A339" t="s">
        <v>698</v>
      </c>
      <c r="B339" s="1">
        <v>44716</v>
      </c>
      <c r="C339" t="s">
        <v>699</v>
      </c>
      <c r="D339" t="s">
        <v>46</v>
      </c>
      <c r="E339" t="s">
        <v>13</v>
      </c>
      <c r="F339">
        <v>14</v>
      </c>
      <c r="G339">
        <v>6860</v>
      </c>
      <c r="H339">
        <v>96036</v>
      </c>
      <c r="I339">
        <v>5698</v>
      </c>
    </row>
    <row r="340" spans="1:9" x14ac:dyDescent="0.3">
      <c r="A340" t="s">
        <v>700</v>
      </c>
      <c r="B340" s="1">
        <v>45491</v>
      </c>
      <c r="C340" t="s">
        <v>701</v>
      </c>
      <c r="D340" t="s">
        <v>46</v>
      </c>
      <c r="E340" t="s">
        <v>13</v>
      </c>
      <c r="F340">
        <v>51</v>
      </c>
      <c r="G340">
        <v>5924</v>
      </c>
      <c r="H340">
        <v>302103</v>
      </c>
      <c r="I340">
        <v>4722</v>
      </c>
    </row>
    <row r="341" spans="1:9" x14ac:dyDescent="0.3">
      <c r="A341" t="s">
        <v>702</v>
      </c>
      <c r="B341" s="1">
        <v>44053</v>
      </c>
      <c r="C341" t="s">
        <v>703</v>
      </c>
      <c r="D341" t="s">
        <v>89</v>
      </c>
      <c r="E341" t="s">
        <v>19</v>
      </c>
      <c r="F341">
        <v>8</v>
      </c>
      <c r="G341">
        <v>8435</v>
      </c>
      <c r="H341">
        <v>67481</v>
      </c>
      <c r="I341">
        <v>3865</v>
      </c>
    </row>
    <row r="342" spans="1:9" x14ac:dyDescent="0.3">
      <c r="A342" t="s">
        <v>704</v>
      </c>
      <c r="B342" s="1">
        <v>45465</v>
      </c>
      <c r="C342" t="s">
        <v>705</v>
      </c>
      <c r="D342" t="s">
        <v>18</v>
      </c>
      <c r="E342" t="s">
        <v>19</v>
      </c>
      <c r="F342">
        <v>5</v>
      </c>
      <c r="G342">
        <v>3735</v>
      </c>
      <c r="H342">
        <v>18674</v>
      </c>
      <c r="I342">
        <v>379</v>
      </c>
    </row>
    <row r="343" spans="1:9" x14ac:dyDescent="0.3">
      <c r="A343" t="s">
        <v>706</v>
      </c>
      <c r="B343" s="1">
        <v>44025</v>
      </c>
      <c r="C343" t="s">
        <v>707</v>
      </c>
      <c r="D343" t="s">
        <v>29</v>
      </c>
      <c r="E343" t="s">
        <v>13</v>
      </c>
      <c r="F343">
        <v>4</v>
      </c>
      <c r="G343">
        <v>4473</v>
      </c>
      <c r="H343">
        <v>17891</v>
      </c>
      <c r="I343">
        <v>1159</v>
      </c>
    </row>
    <row r="344" spans="1:9" x14ac:dyDescent="0.3">
      <c r="A344" t="s">
        <v>708</v>
      </c>
      <c r="B344" s="1">
        <v>45398</v>
      </c>
      <c r="C344" t="s">
        <v>709</v>
      </c>
      <c r="D344" t="s">
        <v>69</v>
      </c>
      <c r="E344" t="s">
        <v>7</v>
      </c>
      <c r="F344">
        <v>11</v>
      </c>
      <c r="G344">
        <v>7604</v>
      </c>
      <c r="H344">
        <v>83639</v>
      </c>
      <c r="I344">
        <v>1381</v>
      </c>
    </row>
    <row r="345" spans="1:9" x14ac:dyDescent="0.3">
      <c r="A345" t="s">
        <v>710</v>
      </c>
      <c r="B345" s="1">
        <v>44268</v>
      </c>
      <c r="C345" t="s">
        <v>711</v>
      </c>
      <c r="D345" t="s">
        <v>77</v>
      </c>
      <c r="E345" t="s">
        <v>7</v>
      </c>
      <c r="F345">
        <v>9</v>
      </c>
      <c r="G345">
        <v>728</v>
      </c>
      <c r="H345">
        <v>6556</v>
      </c>
      <c r="I345">
        <v>238</v>
      </c>
    </row>
    <row r="346" spans="1:9" x14ac:dyDescent="0.3">
      <c r="A346" t="s">
        <v>712</v>
      </c>
      <c r="B346" s="1">
        <v>45017</v>
      </c>
      <c r="C346" t="s">
        <v>713</v>
      </c>
      <c r="D346" t="s">
        <v>46</v>
      </c>
      <c r="E346" t="s">
        <v>19</v>
      </c>
      <c r="F346">
        <v>15</v>
      </c>
      <c r="G346">
        <v>4137</v>
      </c>
      <c r="H346">
        <v>62049</v>
      </c>
      <c r="I346">
        <v>1494</v>
      </c>
    </row>
    <row r="347" spans="1:9" x14ac:dyDescent="0.3">
      <c r="A347" t="s">
        <v>714</v>
      </c>
      <c r="B347" s="1">
        <v>44145</v>
      </c>
      <c r="C347" t="s">
        <v>715</v>
      </c>
      <c r="D347" t="s">
        <v>9</v>
      </c>
      <c r="E347" t="s">
        <v>19</v>
      </c>
      <c r="F347">
        <v>2</v>
      </c>
      <c r="G347">
        <v>6180</v>
      </c>
      <c r="H347">
        <v>12360</v>
      </c>
      <c r="I347">
        <v>2332</v>
      </c>
    </row>
    <row r="348" spans="1:9" x14ac:dyDescent="0.3">
      <c r="A348" t="s">
        <v>716</v>
      </c>
      <c r="B348" s="1">
        <v>45085</v>
      </c>
      <c r="C348" t="s">
        <v>717</v>
      </c>
      <c r="D348" t="s">
        <v>32</v>
      </c>
      <c r="E348" t="s">
        <v>7</v>
      </c>
      <c r="F348">
        <v>15</v>
      </c>
      <c r="G348">
        <v>10208</v>
      </c>
      <c r="H348">
        <v>153115</v>
      </c>
      <c r="I348">
        <v>4930</v>
      </c>
    </row>
    <row r="349" spans="1:9" x14ac:dyDescent="0.3">
      <c r="A349" t="s">
        <v>718</v>
      </c>
      <c r="B349" s="1">
        <v>44425</v>
      </c>
      <c r="C349" t="s">
        <v>719</v>
      </c>
      <c r="D349" t="s">
        <v>77</v>
      </c>
      <c r="E349" t="s">
        <v>7</v>
      </c>
      <c r="F349">
        <v>1</v>
      </c>
      <c r="G349">
        <v>12264</v>
      </c>
      <c r="H349">
        <v>12264</v>
      </c>
      <c r="I349">
        <v>3502</v>
      </c>
    </row>
    <row r="350" spans="1:9" x14ac:dyDescent="0.3">
      <c r="A350" t="s">
        <v>720</v>
      </c>
      <c r="B350" s="1">
        <v>43975</v>
      </c>
      <c r="C350" t="s">
        <v>721</v>
      </c>
      <c r="D350" t="s">
        <v>22</v>
      </c>
      <c r="E350" t="s">
        <v>13</v>
      </c>
      <c r="F350">
        <v>1</v>
      </c>
      <c r="G350">
        <v>9290</v>
      </c>
      <c r="H350">
        <v>9290</v>
      </c>
      <c r="I350">
        <v>800</v>
      </c>
    </row>
    <row r="351" spans="1:9" x14ac:dyDescent="0.3">
      <c r="A351" t="s">
        <v>722</v>
      </c>
      <c r="B351" s="1">
        <v>44420</v>
      </c>
      <c r="C351" t="s">
        <v>723</v>
      </c>
      <c r="D351" t="s">
        <v>11</v>
      </c>
      <c r="E351" t="s">
        <v>19</v>
      </c>
      <c r="F351">
        <v>10</v>
      </c>
      <c r="G351">
        <v>6967</v>
      </c>
      <c r="H351">
        <v>69674</v>
      </c>
      <c r="I351">
        <v>164</v>
      </c>
    </row>
    <row r="352" spans="1:9" x14ac:dyDescent="0.3">
      <c r="A352" t="s">
        <v>724</v>
      </c>
      <c r="B352" s="1">
        <v>44807</v>
      </c>
      <c r="C352" t="s">
        <v>725</v>
      </c>
      <c r="D352" t="s">
        <v>60</v>
      </c>
      <c r="E352" t="s">
        <v>7</v>
      </c>
      <c r="F352">
        <v>6</v>
      </c>
      <c r="G352">
        <v>1181</v>
      </c>
      <c r="H352">
        <v>7086</v>
      </c>
      <c r="I352">
        <v>618</v>
      </c>
    </row>
    <row r="353" spans="1:9" x14ac:dyDescent="0.3">
      <c r="A353" t="s">
        <v>726</v>
      </c>
      <c r="B353" s="1">
        <v>44708</v>
      </c>
      <c r="C353" t="s">
        <v>727</v>
      </c>
      <c r="D353" t="s">
        <v>77</v>
      </c>
      <c r="E353" t="s">
        <v>13</v>
      </c>
      <c r="F353">
        <v>39</v>
      </c>
      <c r="G353">
        <v>4763</v>
      </c>
      <c r="H353">
        <v>185744</v>
      </c>
      <c r="I353">
        <v>2484</v>
      </c>
    </row>
    <row r="354" spans="1:9" x14ac:dyDescent="0.3">
      <c r="A354" t="s">
        <v>728</v>
      </c>
      <c r="B354" s="1">
        <v>45361</v>
      </c>
      <c r="C354" t="s">
        <v>729</v>
      </c>
      <c r="D354" t="s">
        <v>15</v>
      </c>
      <c r="E354" t="s">
        <v>13</v>
      </c>
      <c r="F354">
        <v>76</v>
      </c>
      <c r="G354">
        <v>6274</v>
      </c>
      <c r="H354">
        <v>476812</v>
      </c>
      <c r="I354">
        <v>8728</v>
      </c>
    </row>
    <row r="355" spans="1:9" x14ac:dyDescent="0.3">
      <c r="A355" t="s">
        <v>730</v>
      </c>
      <c r="B355" s="1">
        <v>44801</v>
      </c>
      <c r="C355" t="s">
        <v>731</v>
      </c>
      <c r="D355" t="s">
        <v>46</v>
      </c>
      <c r="E355" t="s">
        <v>19</v>
      </c>
      <c r="F355">
        <v>30</v>
      </c>
      <c r="G355">
        <v>4132</v>
      </c>
      <c r="H355">
        <v>123952</v>
      </c>
      <c r="I355">
        <v>3502</v>
      </c>
    </row>
    <row r="356" spans="1:9" x14ac:dyDescent="0.3">
      <c r="A356" t="s">
        <v>732</v>
      </c>
      <c r="B356" s="1">
        <v>44313</v>
      </c>
      <c r="C356" t="s">
        <v>733</v>
      </c>
      <c r="D356" t="s">
        <v>18</v>
      </c>
      <c r="E356" t="s">
        <v>7</v>
      </c>
      <c r="F356">
        <v>11</v>
      </c>
      <c r="G356">
        <v>9386</v>
      </c>
      <c r="H356">
        <v>103242</v>
      </c>
      <c r="I356">
        <v>557</v>
      </c>
    </row>
    <row r="357" spans="1:9" x14ac:dyDescent="0.3">
      <c r="A357" t="s">
        <v>734</v>
      </c>
      <c r="B357" s="1">
        <v>44429</v>
      </c>
      <c r="C357" t="s">
        <v>735</v>
      </c>
      <c r="D357" t="s">
        <v>49</v>
      </c>
      <c r="E357" t="s">
        <v>13</v>
      </c>
      <c r="F357">
        <v>34</v>
      </c>
      <c r="G357">
        <v>5426</v>
      </c>
      <c r="H357">
        <v>184470</v>
      </c>
      <c r="I357">
        <v>1930</v>
      </c>
    </row>
    <row r="358" spans="1:9" x14ac:dyDescent="0.3">
      <c r="A358" t="s">
        <v>736</v>
      </c>
      <c r="B358" s="1">
        <v>44576</v>
      </c>
      <c r="C358" t="s">
        <v>737</v>
      </c>
      <c r="D358" t="s">
        <v>34</v>
      </c>
      <c r="E358" t="s">
        <v>19</v>
      </c>
      <c r="F358">
        <v>1</v>
      </c>
      <c r="G358">
        <v>7123</v>
      </c>
      <c r="H358">
        <v>7123</v>
      </c>
      <c r="I358">
        <v>734</v>
      </c>
    </row>
    <row r="359" spans="1:9" x14ac:dyDescent="0.3">
      <c r="A359" t="s">
        <v>738</v>
      </c>
      <c r="B359" s="1">
        <v>45288</v>
      </c>
      <c r="C359" t="s">
        <v>739</v>
      </c>
      <c r="D359" t="s">
        <v>36</v>
      </c>
      <c r="E359" t="s">
        <v>7</v>
      </c>
      <c r="F359">
        <v>24</v>
      </c>
      <c r="G359">
        <v>10227</v>
      </c>
      <c r="H359">
        <v>245454</v>
      </c>
      <c r="I359">
        <v>8598</v>
      </c>
    </row>
    <row r="360" spans="1:9" x14ac:dyDescent="0.3">
      <c r="A360" t="s">
        <v>740</v>
      </c>
      <c r="B360" s="1">
        <v>45260</v>
      </c>
      <c r="C360" t="s">
        <v>741</v>
      </c>
      <c r="D360" t="s">
        <v>15</v>
      </c>
      <c r="E360" t="s">
        <v>13</v>
      </c>
      <c r="F360">
        <v>8</v>
      </c>
      <c r="G360">
        <v>729</v>
      </c>
      <c r="H360">
        <v>5834</v>
      </c>
      <c r="I360">
        <v>594</v>
      </c>
    </row>
    <row r="361" spans="1:9" x14ac:dyDescent="0.3">
      <c r="A361" t="s">
        <v>742</v>
      </c>
      <c r="B361" s="1">
        <v>45065</v>
      </c>
      <c r="C361" t="s">
        <v>743</v>
      </c>
      <c r="D361" t="s">
        <v>60</v>
      </c>
      <c r="E361" t="s">
        <v>7</v>
      </c>
      <c r="F361">
        <v>46</v>
      </c>
      <c r="G361">
        <v>4972</v>
      </c>
      <c r="H361">
        <v>228726</v>
      </c>
      <c r="I361">
        <v>5624</v>
      </c>
    </row>
    <row r="362" spans="1:9" x14ac:dyDescent="0.3">
      <c r="A362" t="s">
        <v>744</v>
      </c>
      <c r="B362" s="1">
        <v>45341</v>
      </c>
      <c r="C362" t="s">
        <v>745</v>
      </c>
      <c r="D362" t="s">
        <v>8</v>
      </c>
      <c r="E362" t="s">
        <v>19</v>
      </c>
      <c r="F362">
        <v>5</v>
      </c>
      <c r="G362">
        <v>4020</v>
      </c>
      <c r="H362">
        <v>20098</v>
      </c>
      <c r="I362">
        <v>1318</v>
      </c>
    </row>
    <row r="363" spans="1:9" x14ac:dyDescent="0.3">
      <c r="A363" t="s">
        <v>746</v>
      </c>
      <c r="B363" s="1">
        <v>44531</v>
      </c>
      <c r="C363" t="s">
        <v>747</v>
      </c>
      <c r="D363" t="s">
        <v>43</v>
      </c>
      <c r="E363" t="s">
        <v>13</v>
      </c>
      <c r="F363">
        <v>20</v>
      </c>
      <c r="G363">
        <v>6730</v>
      </c>
      <c r="H363">
        <v>134601</v>
      </c>
      <c r="I363">
        <v>4271</v>
      </c>
    </row>
    <row r="364" spans="1:9" x14ac:dyDescent="0.3">
      <c r="A364" t="s">
        <v>748</v>
      </c>
      <c r="B364" s="1">
        <v>45645</v>
      </c>
      <c r="C364" t="s">
        <v>749</v>
      </c>
      <c r="D364" t="s">
        <v>11</v>
      </c>
      <c r="E364" t="s">
        <v>13</v>
      </c>
      <c r="F364">
        <v>19</v>
      </c>
      <c r="G364">
        <v>6723</v>
      </c>
      <c r="H364">
        <v>127737</v>
      </c>
      <c r="I364">
        <v>950</v>
      </c>
    </row>
    <row r="365" spans="1:9" x14ac:dyDescent="0.3">
      <c r="A365" t="s">
        <v>750</v>
      </c>
      <c r="B365" s="1">
        <v>44944</v>
      </c>
      <c r="C365" t="s">
        <v>751</v>
      </c>
      <c r="D365" t="s">
        <v>49</v>
      </c>
      <c r="E365" t="s">
        <v>19</v>
      </c>
      <c r="F365">
        <v>28</v>
      </c>
      <c r="G365">
        <v>731</v>
      </c>
      <c r="H365">
        <v>20456</v>
      </c>
      <c r="I365">
        <v>464</v>
      </c>
    </row>
    <row r="366" spans="1:9" x14ac:dyDescent="0.3">
      <c r="A366" t="s">
        <v>752</v>
      </c>
      <c r="B366" s="1">
        <v>44255</v>
      </c>
      <c r="C366" t="s">
        <v>753</v>
      </c>
      <c r="D366" t="s">
        <v>43</v>
      </c>
      <c r="E366" t="s">
        <v>13</v>
      </c>
      <c r="F366">
        <v>6</v>
      </c>
      <c r="G366">
        <v>1166</v>
      </c>
      <c r="H366">
        <v>6999</v>
      </c>
      <c r="I366">
        <v>501</v>
      </c>
    </row>
    <row r="367" spans="1:9" x14ac:dyDescent="0.3">
      <c r="A367" t="s">
        <v>754</v>
      </c>
      <c r="B367" s="1">
        <v>45050</v>
      </c>
      <c r="C367" t="s">
        <v>755</v>
      </c>
      <c r="D367" t="s">
        <v>32</v>
      </c>
      <c r="E367" t="s">
        <v>19</v>
      </c>
      <c r="F367">
        <v>63</v>
      </c>
      <c r="G367">
        <v>1759</v>
      </c>
      <c r="H367">
        <v>110805</v>
      </c>
      <c r="I367">
        <v>4290</v>
      </c>
    </row>
    <row r="368" spans="1:9" x14ac:dyDescent="0.3">
      <c r="A368" t="s">
        <v>756</v>
      </c>
      <c r="B368" s="1">
        <v>45127</v>
      </c>
      <c r="C368" t="s">
        <v>757</v>
      </c>
      <c r="D368" t="s">
        <v>34</v>
      </c>
      <c r="E368" t="s">
        <v>13</v>
      </c>
      <c r="F368">
        <v>1</v>
      </c>
      <c r="G368">
        <v>8933</v>
      </c>
      <c r="H368">
        <v>8933</v>
      </c>
      <c r="I368">
        <v>1127</v>
      </c>
    </row>
    <row r="369" spans="1:9" x14ac:dyDescent="0.3">
      <c r="A369" t="s">
        <v>758</v>
      </c>
      <c r="B369" s="1">
        <v>44801</v>
      </c>
      <c r="C369" t="s">
        <v>759</v>
      </c>
      <c r="D369" t="s">
        <v>8</v>
      </c>
      <c r="E369" t="s">
        <v>19</v>
      </c>
      <c r="F369">
        <v>19</v>
      </c>
      <c r="G369">
        <v>5355</v>
      </c>
      <c r="H369">
        <v>101740</v>
      </c>
      <c r="I369">
        <v>1743</v>
      </c>
    </row>
    <row r="370" spans="1:9" x14ac:dyDescent="0.3">
      <c r="A370" t="s">
        <v>760</v>
      </c>
      <c r="B370" s="1">
        <v>44999</v>
      </c>
      <c r="C370" t="s">
        <v>761</v>
      </c>
      <c r="D370" t="s">
        <v>34</v>
      </c>
      <c r="E370" t="s">
        <v>13</v>
      </c>
      <c r="F370">
        <v>6</v>
      </c>
      <c r="G370">
        <v>6568</v>
      </c>
      <c r="H370">
        <v>39408</v>
      </c>
      <c r="I370">
        <v>2526</v>
      </c>
    </row>
    <row r="371" spans="1:9" x14ac:dyDescent="0.3">
      <c r="A371" t="s">
        <v>762</v>
      </c>
      <c r="B371" s="1">
        <v>45398</v>
      </c>
      <c r="C371" t="s">
        <v>763</v>
      </c>
      <c r="D371" t="s">
        <v>15</v>
      </c>
      <c r="E371" t="s">
        <v>19</v>
      </c>
      <c r="F371">
        <v>32</v>
      </c>
      <c r="G371">
        <v>7846</v>
      </c>
      <c r="H371">
        <v>251086</v>
      </c>
      <c r="I371">
        <v>11166</v>
      </c>
    </row>
    <row r="372" spans="1:9" x14ac:dyDescent="0.3">
      <c r="A372" t="s">
        <v>764</v>
      </c>
      <c r="B372" s="1">
        <v>44820</v>
      </c>
      <c r="C372" t="s">
        <v>765</v>
      </c>
      <c r="D372" t="s">
        <v>32</v>
      </c>
      <c r="E372" t="s">
        <v>13</v>
      </c>
      <c r="F372">
        <v>13</v>
      </c>
      <c r="G372">
        <v>8813</v>
      </c>
      <c r="H372">
        <v>114567</v>
      </c>
      <c r="I372">
        <v>3586</v>
      </c>
    </row>
    <row r="373" spans="1:9" x14ac:dyDescent="0.3">
      <c r="A373" t="s">
        <v>766</v>
      </c>
      <c r="B373" s="1">
        <v>45596</v>
      </c>
      <c r="C373" t="s">
        <v>767</v>
      </c>
      <c r="D373" t="s">
        <v>36</v>
      </c>
      <c r="E373" t="s">
        <v>19</v>
      </c>
      <c r="F373">
        <v>6</v>
      </c>
      <c r="G373">
        <v>9424</v>
      </c>
      <c r="H373">
        <v>56542</v>
      </c>
      <c r="I373">
        <v>3394</v>
      </c>
    </row>
    <row r="374" spans="1:9" x14ac:dyDescent="0.3">
      <c r="A374" t="s">
        <v>768</v>
      </c>
      <c r="B374" s="1">
        <v>45621</v>
      </c>
      <c r="C374" t="s">
        <v>769</v>
      </c>
      <c r="D374" t="s">
        <v>46</v>
      </c>
      <c r="E374" t="s">
        <v>7</v>
      </c>
      <c r="F374">
        <v>14</v>
      </c>
      <c r="G374">
        <v>5604</v>
      </c>
      <c r="H374">
        <v>78456</v>
      </c>
      <c r="I374">
        <v>4074</v>
      </c>
    </row>
    <row r="375" spans="1:9" x14ac:dyDescent="0.3">
      <c r="A375" t="s">
        <v>770</v>
      </c>
      <c r="B375" s="1">
        <v>45287</v>
      </c>
      <c r="C375" t="s">
        <v>771</v>
      </c>
      <c r="D375" t="s">
        <v>89</v>
      </c>
      <c r="E375" t="s">
        <v>19</v>
      </c>
      <c r="F375">
        <v>14</v>
      </c>
      <c r="G375">
        <v>3348</v>
      </c>
      <c r="H375">
        <v>46876</v>
      </c>
      <c r="I375">
        <v>942</v>
      </c>
    </row>
    <row r="376" spans="1:9" x14ac:dyDescent="0.3">
      <c r="A376" t="s">
        <v>772</v>
      </c>
      <c r="B376" s="1">
        <v>44075</v>
      </c>
      <c r="C376" t="s">
        <v>773</v>
      </c>
      <c r="D376" t="s">
        <v>22</v>
      </c>
      <c r="E376" t="s">
        <v>13</v>
      </c>
      <c r="F376">
        <v>9</v>
      </c>
      <c r="G376">
        <v>8954</v>
      </c>
      <c r="H376">
        <v>80587</v>
      </c>
      <c r="I376">
        <v>2458</v>
      </c>
    </row>
    <row r="377" spans="1:9" x14ac:dyDescent="0.3">
      <c r="A377" t="s">
        <v>774</v>
      </c>
      <c r="B377" s="1">
        <v>45689</v>
      </c>
      <c r="C377" t="s">
        <v>775</v>
      </c>
      <c r="D377" t="s">
        <v>29</v>
      </c>
      <c r="E377" t="s">
        <v>19</v>
      </c>
      <c r="F377">
        <v>18</v>
      </c>
      <c r="G377">
        <v>6281</v>
      </c>
      <c r="H377">
        <v>113066</v>
      </c>
      <c r="I377">
        <v>1556</v>
      </c>
    </row>
    <row r="378" spans="1:9" x14ac:dyDescent="0.3">
      <c r="A378" t="s">
        <v>776</v>
      </c>
      <c r="B378" s="1">
        <v>45129</v>
      </c>
      <c r="C378" t="s">
        <v>777</v>
      </c>
      <c r="D378" t="s">
        <v>32</v>
      </c>
      <c r="E378" t="s">
        <v>19</v>
      </c>
      <c r="F378">
        <v>32</v>
      </c>
      <c r="G378">
        <v>3907</v>
      </c>
      <c r="H378">
        <v>125026</v>
      </c>
      <c r="I378">
        <v>962</v>
      </c>
    </row>
    <row r="379" spans="1:9" x14ac:dyDescent="0.3">
      <c r="A379" t="s">
        <v>778</v>
      </c>
      <c r="B379" s="1">
        <v>45687</v>
      </c>
      <c r="C379" t="s">
        <v>779</v>
      </c>
      <c r="D379" t="s">
        <v>15</v>
      </c>
      <c r="E379" t="s">
        <v>7</v>
      </c>
      <c r="F379">
        <v>68</v>
      </c>
      <c r="G379">
        <v>7741</v>
      </c>
      <c r="H379">
        <v>526380</v>
      </c>
      <c r="I379">
        <v>17680</v>
      </c>
    </row>
    <row r="380" spans="1:9" x14ac:dyDescent="0.3">
      <c r="A380" t="s">
        <v>780</v>
      </c>
      <c r="B380" s="1">
        <v>45672</v>
      </c>
      <c r="C380" t="s">
        <v>781</v>
      </c>
      <c r="D380" t="s">
        <v>49</v>
      </c>
      <c r="E380" t="s">
        <v>13</v>
      </c>
      <c r="F380">
        <v>4</v>
      </c>
      <c r="G380">
        <v>11100</v>
      </c>
      <c r="H380">
        <v>44402</v>
      </c>
      <c r="I380">
        <v>8394</v>
      </c>
    </row>
    <row r="381" spans="1:9" x14ac:dyDescent="0.3">
      <c r="A381" t="s">
        <v>782</v>
      </c>
      <c r="B381" s="1">
        <v>44555</v>
      </c>
      <c r="C381" t="s">
        <v>783</v>
      </c>
      <c r="D381" t="s">
        <v>49</v>
      </c>
      <c r="E381" t="s">
        <v>13</v>
      </c>
      <c r="F381">
        <v>19</v>
      </c>
      <c r="G381">
        <v>7251</v>
      </c>
      <c r="H381">
        <v>137777</v>
      </c>
      <c r="I381">
        <v>2782</v>
      </c>
    </row>
    <row r="382" spans="1:9" x14ac:dyDescent="0.3">
      <c r="A382" t="s">
        <v>784</v>
      </c>
      <c r="B382" s="1">
        <v>45618</v>
      </c>
      <c r="C382" t="s">
        <v>785</v>
      </c>
      <c r="D382" t="s">
        <v>46</v>
      </c>
      <c r="E382" t="s">
        <v>19</v>
      </c>
      <c r="F382">
        <v>96</v>
      </c>
      <c r="G382">
        <v>5815</v>
      </c>
      <c r="H382">
        <v>558219</v>
      </c>
      <c r="I382">
        <v>6333</v>
      </c>
    </row>
    <row r="383" spans="1:9" x14ac:dyDescent="0.3">
      <c r="A383" t="s">
        <v>786</v>
      </c>
      <c r="B383" s="1">
        <v>45475</v>
      </c>
      <c r="C383" t="s">
        <v>787</v>
      </c>
      <c r="D383" t="s">
        <v>29</v>
      </c>
      <c r="E383" t="s">
        <v>13</v>
      </c>
      <c r="F383">
        <v>14</v>
      </c>
      <c r="G383">
        <v>8672</v>
      </c>
      <c r="H383">
        <v>121405</v>
      </c>
      <c r="I383">
        <v>2015</v>
      </c>
    </row>
    <row r="384" spans="1:9" x14ac:dyDescent="0.3">
      <c r="A384" t="s">
        <v>788</v>
      </c>
      <c r="B384" s="1">
        <v>44579</v>
      </c>
      <c r="C384" t="s">
        <v>789</v>
      </c>
      <c r="D384" t="s">
        <v>60</v>
      </c>
      <c r="E384" t="s">
        <v>7</v>
      </c>
      <c r="F384">
        <v>13</v>
      </c>
      <c r="G384">
        <v>1629</v>
      </c>
      <c r="H384">
        <v>21176</v>
      </c>
      <c r="I384">
        <v>480</v>
      </c>
    </row>
    <row r="385" spans="1:9" x14ac:dyDescent="0.3">
      <c r="A385" t="s">
        <v>790</v>
      </c>
      <c r="B385" s="1">
        <v>45573</v>
      </c>
      <c r="C385" t="s">
        <v>791</v>
      </c>
      <c r="D385" t="s">
        <v>49</v>
      </c>
      <c r="E385" t="s">
        <v>13</v>
      </c>
      <c r="F385">
        <v>20</v>
      </c>
      <c r="G385">
        <v>5898</v>
      </c>
      <c r="H385">
        <v>117966</v>
      </c>
      <c r="I385">
        <v>1521</v>
      </c>
    </row>
    <row r="386" spans="1:9" x14ac:dyDescent="0.3">
      <c r="A386" t="s">
        <v>792</v>
      </c>
      <c r="B386" s="1">
        <v>44003</v>
      </c>
      <c r="C386" t="s">
        <v>793</v>
      </c>
      <c r="D386" t="s">
        <v>36</v>
      </c>
      <c r="E386" t="s">
        <v>7</v>
      </c>
      <c r="F386">
        <v>5</v>
      </c>
      <c r="G386">
        <v>2514</v>
      </c>
      <c r="H386">
        <v>12571</v>
      </c>
      <c r="I386">
        <v>211</v>
      </c>
    </row>
    <row r="387" spans="1:9" x14ac:dyDescent="0.3">
      <c r="A387" t="s">
        <v>794</v>
      </c>
      <c r="B387" s="1">
        <v>45274</v>
      </c>
      <c r="C387" t="s">
        <v>795</v>
      </c>
      <c r="D387" t="s">
        <v>77</v>
      </c>
      <c r="E387" t="s">
        <v>19</v>
      </c>
      <c r="F387">
        <v>14</v>
      </c>
      <c r="G387">
        <v>9353</v>
      </c>
      <c r="H387">
        <v>130944</v>
      </c>
      <c r="I387">
        <v>3096</v>
      </c>
    </row>
    <row r="388" spans="1:9" x14ac:dyDescent="0.3">
      <c r="A388" t="s">
        <v>796</v>
      </c>
      <c r="B388" s="1">
        <v>44181</v>
      </c>
      <c r="C388" t="s">
        <v>797</v>
      </c>
      <c r="D388" t="s">
        <v>32</v>
      </c>
      <c r="E388" t="s">
        <v>13</v>
      </c>
      <c r="F388">
        <v>6</v>
      </c>
      <c r="G388">
        <v>8568</v>
      </c>
      <c r="H388">
        <v>51407</v>
      </c>
      <c r="I388">
        <v>1577</v>
      </c>
    </row>
    <row r="389" spans="1:9" x14ac:dyDescent="0.3">
      <c r="A389" t="s">
        <v>798</v>
      </c>
      <c r="B389" s="1">
        <v>45731</v>
      </c>
      <c r="C389" t="s">
        <v>799</v>
      </c>
      <c r="D389" t="s">
        <v>77</v>
      </c>
      <c r="E389" t="s">
        <v>7</v>
      </c>
      <c r="F389">
        <v>19</v>
      </c>
      <c r="G389">
        <v>1013</v>
      </c>
      <c r="H389">
        <v>19248</v>
      </c>
      <c r="I389">
        <v>58</v>
      </c>
    </row>
    <row r="390" spans="1:9" x14ac:dyDescent="0.3">
      <c r="A390" t="s">
        <v>800</v>
      </c>
      <c r="B390" s="1">
        <v>45525</v>
      </c>
      <c r="C390" t="s">
        <v>801</v>
      </c>
      <c r="D390" t="s">
        <v>34</v>
      </c>
      <c r="E390" t="s">
        <v>7</v>
      </c>
      <c r="F390">
        <v>29</v>
      </c>
      <c r="G390">
        <v>5599</v>
      </c>
      <c r="H390">
        <v>162360</v>
      </c>
      <c r="I390">
        <v>3464</v>
      </c>
    </row>
    <row r="391" spans="1:9" x14ac:dyDescent="0.3">
      <c r="A391" t="s">
        <v>802</v>
      </c>
      <c r="B391" s="1">
        <v>44343</v>
      </c>
      <c r="C391" t="s">
        <v>803</v>
      </c>
      <c r="D391" t="s">
        <v>36</v>
      </c>
      <c r="E391" t="s">
        <v>13</v>
      </c>
      <c r="F391">
        <v>19</v>
      </c>
      <c r="G391">
        <v>9039</v>
      </c>
      <c r="H391">
        <v>171740</v>
      </c>
      <c r="I391">
        <v>3381</v>
      </c>
    </row>
    <row r="392" spans="1:9" x14ac:dyDescent="0.3">
      <c r="A392" t="s">
        <v>804</v>
      </c>
      <c r="B392" s="1">
        <v>44095</v>
      </c>
      <c r="C392" t="s">
        <v>805</v>
      </c>
      <c r="D392" t="s">
        <v>54</v>
      </c>
      <c r="E392" t="s">
        <v>7</v>
      </c>
      <c r="F392">
        <v>13</v>
      </c>
      <c r="G392">
        <v>8316</v>
      </c>
      <c r="H392">
        <v>108106</v>
      </c>
      <c r="I392">
        <v>2052</v>
      </c>
    </row>
    <row r="393" spans="1:9" x14ac:dyDescent="0.3">
      <c r="A393" t="s">
        <v>806</v>
      </c>
      <c r="B393" s="1">
        <v>45668</v>
      </c>
      <c r="C393" t="s">
        <v>807</v>
      </c>
      <c r="D393" t="s">
        <v>18</v>
      </c>
      <c r="E393" t="s">
        <v>13</v>
      </c>
      <c r="F393">
        <v>14</v>
      </c>
      <c r="G393">
        <v>3533</v>
      </c>
      <c r="H393">
        <v>49458</v>
      </c>
      <c r="I393">
        <v>1704</v>
      </c>
    </row>
    <row r="394" spans="1:9" x14ac:dyDescent="0.3">
      <c r="A394" t="s">
        <v>808</v>
      </c>
      <c r="B394" s="1">
        <v>44489</v>
      </c>
      <c r="C394" t="s">
        <v>809</v>
      </c>
      <c r="D394" t="s">
        <v>69</v>
      </c>
      <c r="E394" t="s">
        <v>13</v>
      </c>
      <c r="F394">
        <v>31</v>
      </c>
      <c r="G394">
        <v>5453</v>
      </c>
      <c r="H394">
        <v>169047</v>
      </c>
      <c r="I394">
        <v>1211</v>
      </c>
    </row>
    <row r="395" spans="1:9" x14ac:dyDescent="0.3">
      <c r="A395" t="s">
        <v>810</v>
      </c>
      <c r="B395" s="1">
        <v>44488</v>
      </c>
      <c r="C395" t="s">
        <v>811</v>
      </c>
      <c r="D395" t="s">
        <v>29</v>
      </c>
      <c r="E395" t="s">
        <v>19</v>
      </c>
      <c r="F395">
        <v>10</v>
      </c>
      <c r="G395">
        <v>5428</v>
      </c>
      <c r="H395">
        <v>54283</v>
      </c>
      <c r="I395">
        <v>743</v>
      </c>
    </row>
    <row r="396" spans="1:9" x14ac:dyDescent="0.3">
      <c r="A396" t="s">
        <v>812</v>
      </c>
      <c r="B396" s="1">
        <v>45480</v>
      </c>
      <c r="C396" t="s">
        <v>813</v>
      </c>
      <c r="D396" t="s">
        <v>43</v>
      </c>
      <c r="E396" t="s">
        <v>7</v>
      </c>
      <c r="F396">
        <v>8</v>
      </c>
      <c r="G396">
        <v>9638</v>
      </c>
      <c r="H396">
        <v>77100</v>
      </c>
      <c r="I396">
        <v>6860</v>
      </c>
    </row>
    <row r="397" spans="1:9" x14ac:dyDescent="0.3">
      <c r="A397" t="s">
        <v>814</v>
      </c>
      <c r="B397" s="1">
        <v>43937</v>
      </c>
      <c r="C397" t="s">
        <v>815</v>
      </c>
      <c r="D397" t="s">
        <v>49</v>
      </c>
      <c r="E397" t="s">
        <v>19</v>
      </c>
      <c r="F397">
        <v>8</v>
      </c>
      <c r="G397">
        <v>7196</v>
      </c>
      <c r="H397">
        <v>57570</v>
      </c>
      <c r="I397">
        <v>3306</v>
      </c>
    </row>
    <row r="398" spans="1:9" x14ac:dyDescent="0.3">
      <c r="A398" t="s">
        <v>816</v>
      </c>
      <c r="B398" s="1">
        <v>44016</v>
      </c>
      <c r="C398" t="s">
        <v>817</v>
      </c>
      <c r="D398" t="s">
        <v>22</v>
      </c>
      <c r="E398" t="s">
        <v>13</v>
      </c>
      <c r="F398">
        <v>4</v>
      </c>
      <c r="G398">
        <v>1849</v>
      </c>
      <c r="H398">
        <v>7397</v>
      </c>
      <c r="I398">
        <v>285</v>
      </c>
    </row>
    <row r="399" spans="1:9" x14ac:dyDescent="0.3">
      <c r="A399" t="s">
        <v>818</v>
      </c>
      <c r="B399" s="1">
        <v>44697</v>
      </c>
      <c r="C399" t="s">
        <v>819</v>
      </c>
      <c r="D399" t="s">
        <v>32</v>
      </c>
      <c r="E399" t="s">
        <v>19</v>
      </c>
      <c r="F399">
        <v>16</v>
      </c>
      <c r="G399">
        <v>9221</v>
      </c>
      <c r="H399">
        <v>147530</v>
      </c>
      <c r="I399">
        <v>2914</v>
      </c>
    </row>
    <row r="400" spans="1:9" x14ac:dyDescent="0.3">
      <c r="A400" t="s">
        <v>820</v>
      </c>
      <c r="B400" s="1">
        <v>45255</v>
      </c>
      <c r="C400" t="s">
        <v>821</v>
      </c>
      <c r="D400" t="s">
        <v>29</v>
      </c>
      <c r="E400" t="s">
        <v>19</v>
      </c>
      <c r="F400">
        <v>13</v>
      </c>
      <c r="G400">
        <v>1689</v>
      </c>
      <c r="H400">
        <v>21955</v>
      </c>
      <c r="I400">
        <v>661</v>
      </c>
    </row>
    <row r="401" spans="1:9" x14ac:dyDescent="0.3">
      <c r="A401" t="s">
        <v>822</v>
      </c>
      <c r="B401" s="1">
        <v>44425</v>
      </c>
      <c r="C401" t="s">
        <v>823</v>
      </c>
      <c r="D401" t="s">
        <v>34</v>
      </c>
      <c r="E401" t="s">
        <v>19</v>
      </c>
      <c r="F401">
        <v>4</v>
      </c>
      <c r="G401">
        <v>1842</v>
      </c>
      <c r="H401">
        <v>7368</v>
      </c>
      <c r="I401">
        <v>224</v>
      </c>
    </row>
    <row r="402" spans="1:9" x14ac:dyDescent="0.3">
      <c r="A402" t="s">
        <v>824</v>
      </c>
      <c r="B402" s="1">
        <v>45109</v>
      </c>
      <c r="C402" t="s">
        <v>825</v>
      </c>
      <c r="D402" t="s">
        <v>11</v>
      </c>
      <c r="E402" t="s">
        <v>13</v>
      </c>
      <c r="F402">
        <v>9</v>
      </c>
      <c r="G402">
        <v>4838</v>
      </c>
      <c r="H402">
        <v>43540</v>
      </c>
      <c r="I402">
        <v>781</v>
      </c>
    </row>
    <row r="403" spans="1:9" x14ac:dyDescent="0.3">
      <c r="A403" t="s">
        <v>826</v>
      </c>
      <c r="B403" s="1">
        <v>44067</v>
      </c>
      <c r="C403" t="s">
        <v>827</v>
      </c>
      <c r="D403" t="s">
        <v>9</v>
      </c>
      <c r="E403" t="s">
        <v>13</v>
      </c>
      <c r="F403">
        <v>4</v>
      </c>
      <c r="G403">
        <v>10098</v>
      </c>
      <c r="H403">
        <v>40393</v>
      </c>
      <c r="I403">
        <v>4477</v>
      </c>
    </row>
    <row r="404" spans="1:9" x14ac:dyDescent="0.3">
      <c r="A404" t="s">
        <v>828</v>
      </c>
      <c r="B404" s="1">
        <v>44872</v>
      </c>
      <c r="C404" t="s">
        <v>829</v>
      </c>
      <c r="D404" t="s">
        <v>8</v>
      </c>
      <c r="E404" t="s">
        <v>7</v>
      </c>
      <c r="F404">
        <v>8</v>
      </c>
      <c r="G404">
        <v>2810</v>
      </c>
      <c r="H404">
        <v>22479</v>
      </c>
      <c r="I404">
        <v>663</v>
      </c>
    </row>
    <row r="405" spans="1:9" x14ac:dyDescent="0.3">
      <c r="A405" t="s">
        <v>830</v>
      </c>
      <c r="B405" s="1">
        <v>45536</v>
      </c>
      <c r="C405" t="s">
        <v>831</v>
      </c>
      <c r="D405" t="s">
        <v>89</v>
      </c>
      <c r="E405" t="s">
        <v>13</v>
      </c>
      <c r="F405">
        <v>84</v>
      </c>
      <c r="G405">
        <v>1716</v>
      </c>
      <c r="H405">
        <v>144186</v>
      </c>
      <c r="I405">
        <v>1455</v>
      </c>
    </row>
    <row r="406" spans="1:9" x14ac:dyDescent="0.3">
      <c r="A406" t="s">
        <v>832</v>
      </c>
      <c r="B406" s="1">
        <v>44603</v>
      </c>
      <c r="C406" t="s">
        <v>833</v>
      </c>
      <c r="D406" t="s">
        <v>8</v>
      </c>
      <c r="E406" t="s">
        <v>13</v>
      </c>
      <c r="F406">
        <v>20</v>
      </c>
      <c r="G406">
        <v>6902</v>
      </c>
      <c r="H406">
        <v>138032</v>
      </c>
      <c r="I406">
        <v>6386</v>
      </c>
    </row>
    <row r="407" spans="1:9" x14ac:dyDescent="0.3">
      <c r="A407" t="s">
        <v>834</v>
      </c>
      <c r="B407" s="1">
        <v>45112</v>
      </c>
      <c r="C407" t="s">
        <v>835</v>
      </c>
      <c r="D407" t="s">
        <v>29</v>
      </c>
      <c r="E407" t="s">
        <v>19</v>
      </c>
      <c r="F407">
        <v>54</v>
      </c>
      <c r="G407">
        <v>8502</v>
      </c>
      <c r="H407">
        <v>459123</v>
      </c>
      <c r="I407">
        <v>11625</v>
      </c>
    </row>
    <row r="408" spans="1:9" x14ac:dyDescent="0.3">
      <c r="A408" t="s">
        <v>836</v>
      </c>
      <c r="B408" s="1">
        <v>44952</v>
      </c>
      <c r="C408" t="s">
        <v>837</v>
      </c>
      <c r="D408" t="s">
        <v>43</v>
      </c>
      <c r="E408" t="s">
        <v>19</v>
      </c>
      <c r="F408">
        <v>13</v>
      </c>
      <c r="G408">
        <v>3695</v>
      </c>
      <c r="H408">
        <v>48029</v>
      </c>
      <c r="I408">
        <v>436</v>
      </c>
    </row>
    <row r="409" spans="1:9" x14ac:dyDescent="0.3">
      <c r="A409" t="s">
        <v>838</v>
      </c>
      <c r="B409" s="1">
        <v>45503</v>
      </c>
      <c r="C409" t="s">
        <v>839</v>
      </c>
      <c r="D409" t="s">
        <v>18</v>
      </c>
      <c r="E409" t="s">
        <v>13</v>
      </c>
      <c r="F409">
        <v>24</v>
      </c>
      <c r="G409">
        <v>2494</v>
      </c>
      <c r="H409">
        <v>59850</v>
      </c>
      <c r="I409">
        <v>1026</v>
      </c>
    </row>
    <row r="410" spans="1:9" x14ac:dyDescent="0.3">
      <c r="A410" t="s">
        <v>840</v>
      </c>
      <c r="B410" s="1">
        <v>44635</v>
      </c>
      <c r="C410" t="s">
        <v>841</v>
      </c>
      <c r="D410" t="s">
        <v>46</v>
      </c>
      <c r="E410" t="s">
        <v>19</v>
      </c>
      <c r="F410">
        <v>16</v>
      </c>
      <c r="G410">
        <v>7188</v>
      </c>
      <c r="H410">
        <v>115015</v>
      </c>
      <c r="I410">
        <v>1943</v>
      </c>
    </row>
    <row r="411" spans="1:9" x14ac:dyDescent="0.3">
      <c r="A411" t="s">
        <v>842</v>
      </c>
      <c r="B411" s="1">
        <v>45366</v>
      </c>
      <c r="C411" t="s">
        <v>843</v>
      </c>
      <c r="D411" t="s">
        <v>29</v>
      </c>
      <c r="E411" t="s">
        <v>19</v>
      </c>
      <c r="F411">
        <v>16</v>
      </c>
      <c r="G411">
        <v>5392</v>
      </c>
      <c r="H411">
        <v>86280</v>
      </c>
      <c r="I411">
        <v>3498</v>
      </c>
    </row>
    <row r="412" spans="1:9" x14ac:dyDescent="0.3">
      <c r="A412" t="s">
        <v>844</v>
      </c>
      <c r="B412" s="1">
        <v>44765</v>
      </c>
      <c r="C412" t="s">
        <v>845</v>
      </c>
      <c r="D412" t="s">
        <v>29</v>
      </c>
      <c r="E412" t="s">
        <v>13</v>
      </c>
      <c r="F412">
        <v>18</v>
      </c>
      <c r="G412">
        <v>979</v>
      </c>
      <c r="H412">
        <v>17614</v>
      </c>
      <c r="I412">
        <v>298</v>
      </c>
    </row>
    <row r="413" spans="1:9" x14ac:dyDescent="0.3">
      <c r="A413" t="s">
        <v>846</v>
      </c>
      <c r="B413" s="1">
        <v>45548</v>
      </c>
      <c r="C413" t="s">
        <v>847</v>
      </c>
      <c r="D413" t="s">
        <v>11</v>
      </c>
      <c r="E413" t="s">
        <v>13</v>
      </c>
      <c r="F413">
        <v>19</v>
      </c>
      <c r="G413">
        <v>2805</v>
      </c>
      <c r="H413">
        <v>53299</v>
      </c>
      <c r="I413">
        <v>1134</v>
      </c>
    </row>
    <row r="414" spans="1:9" x14ac:dyDescent="0.3">
      <c r="A414" t="s">
        <v>848</v>
      </c>
      <c r="B414" s="1">
        <v>44586</v>
      </c>
      <c r="C414" t="s">
        <v>849</v>
      </c>
      <c r="D414" t="s">
        <v>43</v>
      </c>
      <c r="E414" t="s">
        <v>7</v>
      </c>
      <c r="F414">
        <v>6</v>
      </c>
      <c r="G414">
        <v>2180</v>
      </c>
      <c r="H414">
        <v>13080</v>
      </c>
      <c r="I414">
        <v>612</v>
      </c>
    </row>
    <row r="415" spans="1:9" x14ac:dyDescent="0.3">
      <c r="A415" t="s">
        <v>850</v>
      </c>
      <c r="B415" s="1">
        <v>44305</v>
      </c>
      <c r="C415" t="s">
        <v>851</v>
      </c>
      <c r="D415" t="s">
        <v>22</v>
      </c>
      <c r="E415" t="s">
        <v>7</v>
      </c>
      <c r="F415">
        <v>3</v>
      </c>
      <c r="G415">
        <v>3155</v>
      </c>
      <c r="H415">
        <v>9464</v>
      </c>
      <c r="I415">
        <v>1253</v>
      </c>
    </row>
    <row r="416" spans="1:9" x14ac:dyDescent="0.3">
      <c r="A416" t="s">
        <v>852</v>
      </c>
      <c r="B416" s="1">
        <v>44395</v>
      </c>
      <c r="C416" t="s">
        <v>853</v>
      </c>
      <c r="D416" t="s">
        <v>69</v>
      </c>
      <c r="E416" t="s">
        <v>13</v>
      </c>
      <c r="F416">
        <v>6</v>
      </c>
      <c r="G416">
        <v>8674</v>
      </c>
      <c r="H416">
        <v>52045</v>
      </c>
      <c r="I416">
        <v>2881</v>
      </c>
    </row>
    <row r="417" spans="1:9" x14ac:dyDescent="0.3">
      <c r="A417" t="s">
        <v>854</v>
      </c>
      <c r="B417" s="1">
        <v>45451</v>
      </c>
      <c r="C417" t="s">
        <v>855</v>
      </c>
      <c r="D417" t="s">
        <v>32</v>
      </c>
      <c r="E417" t="s">
        <v>13</v>
      </c>
      <c r="F417">
        <v>80</v>
      </c>
      <c r="G417">
        <v>5679</v>
      </c>
      <c r="H417">
        <v>454316</v>
      </c>
      <c r="I417">
        <v>9624</v>
      </c>
    </row>
    <row r="418" spans="1:9" x14ac:dyDescent="0.3">
      <c r="A418" t="s">
        <v>856</v>
      </c>
      <c r="B418" s="1">
        <v>44833</v>
      </c>
      <c r="C418" t="s">
        <v>857</v>
      </c>
      <c r="D418" t="s">
        <v>22</v>
      </c>
      <c r="E418" t="s">
        <v>13</v>
      </c>
      <c r="F418">
        <v>9</v>
      </c>
      <c r="G418">
        <v>3281</v>
      </c>
      <c r="H418">
        <v>29528</v>
      </c>
      <c r="I418">
        <v>476</v>
      </c>
    </row>
    <row r="419" spans="1:9" x14ac:dyDescent="0.3">
      <c r="A419" t="s">
        <v>858</v>
      </c>
      <c r="B419" s="1">
        <v>45056</v>
      </c>
      <c r="C419" t="s">
        <v>859</v>
      </c>
      <c r="D419" t="s">
        <v>36</v>
      </c>
      <c r="E419" t="s">
        <v>7</v>
      </c>
      <c r="F419">
        <v>16</v>
      </c>
      <c r="G419">
        <v>4012</v>
      </c>
      <c r="H419">
        <v>64186</v>
      </c>
      <c r="I419">
        <v>1498</v>
      </c>
    </row>
    <row r="420" spans="1:9" x14ac:dyDescent="0.3">
      <c r="A420" t="s">
        <v>860</v>
      </c>
      <c r="B420" s="1">
        <v>44298</v>
      </c>
      <c r="C420" t="s">
        <v>861</v>
      </c>
      <c r="D420" t="s">
        <v>9</v>
      </c>
      <c r="E420" t="s">
        <v>19</v>
      </c>
      <c r="F420">
        <v>15</v>
      </c>
      <c r="G420">
        <v>10018</v>
      </c>
      <c r="H420">
        <v>150266</v>
      </c>
      <c r="I420">
        <v>1451</v>
      </c>
    </row>
    <row r="421" spans="1:9" x14ac:dyDescent="0.3">
      <c r="A421" t="s">
        <v>862</v>
      </c>
      <c r="B421" s="1">
        <v>45234</v>
      </c>
      <c r="C421" t="s">
        <v>863</v>
      </c>
      <c r="D421" t="s">
        <v>29</v>
      </c>
      <c r="E421" t="s">
        <v>19</v>
      </c>
      <c r="F421">
        <v>1</v>
      </c>
      <c r="G421">
        <v>14055</v>
      </c>
      <c r="H421">
        <v>14055</v>
      </c>
      <c r="I421">
        <v>4361</v>
      </c>
    </row>
    <row r="422" spans="1:9" x14ac:dyDescent="0.3">
      <c r="A422" t="s">
        <v>864</v>
      </c>
      <c r="B422" s="1">
        <v>43955</v>
      </c>
      <c r="C422" t="s">
        <v>865</v>
      </c>
      <c r="D422" t="s">
        <v>77</v>
      </c>
      <c r="E422" t="s">
        <v>13</v>
      </c>
      <c r="F422">
        <v>13</v>
      </c>
      <c r="G422">
        <v>5147</v>
      </c>
      <c r="H422">
        <v>66917</v>
      </c>
      <c r="I422">
        <v>1553</v>
      </c>
    </row>
    <row r="423" spans="1:9" x14ac:dyDescent="0.3">
      <c r="A423" t="s">
        <v>866</v>
      </c>
      <c r="B423" s="1">
        <v>45420</v>
      </c>
      <c r="C423" t="s">
        <v>867</v>
      </c>
      <c r="D423" t="s">
        <v>8</v>
      </c>
      <c r="E423" t="s">
        <v>13</v>
      </c>
      <c r="F423">
        <v>57</v>
      </c>
      <c r="G423">
        <v>598</v>
      </c>
      <c r="H423">
        <v>34059</v>
      </c>
      <c r="I423">
        <v>201</v>
      </c>
    </row>
    <row r="424" spans="1:9" x14ac:dyDescent="0.3">
      <c r="A424" t="s">
        <v>868</v>
      </c>
      <c r="B424" s="1">
        <v>45381</v>
      </c>
      <c r="C424" t="s">
        <v>869</v>
      </c>
      <c r="D424" t="s">
        <v>54</v>
      </c>
      <c r="E424" t="s">
        <v>19</v>
      </c>
      <c r="F424">
        <v>11</v>
      </c>
      <c r="G424">
        <v>6192</v>
      </c>
      <c r="H424">
        <v>68112</v>
      </c>
      <c r="I424">
        <v>2618</v>
      </c>
    </row>
    <row r="425" spans="1:9" x14ac:dyDescent="0.3">
      <c r="A425" t="s">
        <v>870</v>
      </c>
      <c r="B425" s="1">
        <v>44084</v>
      </c>
      <c r="C425" t="s">
        <v>871</v>
      </c>
      <c r="D425" t="s">
        <v>46</v>
      </c>
      <c r="E425" t="s">
        <v>19</v>
      </c>
      <c r="F425">
        <v>11</v>
      </c>
      <c r="G425">
        <v>4249</v>
      </c>
      <c r="H425">
        <v>46735</v>
      </c>
      <c r="I425">
        <v>2925</v>
      </c>
    </row>
    <row r="426" spans="1:9" x14ac:dyDescent="0.3">
      <c r="A426" t="s">
        <v>872</v>
      </c>
      <c r="B426" s="1">
        <v>45378</v>
      </c>
      <c r="C426" t="s">
        <v>873</v>
      </c>
      <c r="D426" t="s">
        <v>29</v>
      </c>
      <c r="E426" t="s">
        <v>13</v>
      </c>
      <c r="F426">
        <v>45</v>
      </c>
      <c r="G426">
        <v>3606</v>
      </c>
      <c r="H426">
        <v>162275</v>
      </c>
      <c r="I426">
        <v>4720</v>
      </c>
    </row>
    <row r="427" spans="1:9" x14ac:dyDescent="0.3">
      <c r="A427" t="s">
        <v>874</v>
      </c>
      <c r="B427" s="1">
        <v>44864</v>
      </c>
      <c r="C427" t="s">
        <v>875</v>
      </c>
      <c r="D427" t="s">
        <v>77</v>
      </c>
      <c r="E427" t="s">
        <v>13</v>
      </c>
      <c r="F427">
        <v>1</v>
      </c>
      <c r="G427">
        <v>10853</v>
      </c>
      <c r="H427">
        <v>10853</v>
      </c>
      <c r="I427">
        <v>2305</v>
      </c>
    </row>
    <row r="428" spans="1:9" x14ac:dyDescent="0.3">
      <c r="A428" t="s">
        <v>876</v>
      </c>
      <c r="B428" s="1">
        <v>45021</v>
      </c>
      <c r="C428" t="s">
        <v>877</v>
      </c>
      <c r="D428" t="s">
        <v>60</v>
      </c>
      <c r="E428" t="s">
        <v>13</v>
      </c>
      <c r="F428">
        <v>132</v>
      </c>
      <c r="G428">
        <v>4396</v>
      </c>
      <c r="H428">
        <v>580335</v>
      </c>
      <c r="I428">
        <v>7695</v>
      </c>
    </row>
    <row r="429" spans="1:9" x14ac:dyDescent="0.3">
      <c r="A429" t="s">
        <v>878</v>
      </c>
      <c r="B429" s="1">
        <v>45655</v>
      </c>
      <c r="C429" t="s">
        <v>879</v>
      </c>
      <c r="D429" t="s">
        <v>36</v>
      </c>
      <c r="E429" t="s">
        <v>19</v>
      </c>
      <c r="F429">
        <v>10</v>
      </c>
      <c r="G429">
        <v>5699</v>
      </c>
      <c r="H429">
        <v>56990</v>
      </c>
      <c r="I429">
        <v>5060</v>
      </c>
    </row>
    <row r="430" spans="1:9" x14ac:dyDescent="0.3">
      <c r="A430" t="s">
        <v>880</v>
      </c>
      <c r="B430" s="1">
        <v>44054</v>
      </c>
      <c r="C430" t="s">
        <v>881</v>
      </c>
      <c r="D430" t="s">
        <v>60</v>
      </c>
      <c r="E430" t="s">
        <v>7</v>
      </c>
      <c r="F430">
        <v>3</v>
      </c>
      <c r="G430">
        <v>7525</v>
      </c>
      <c r="H430">
        <v>22575</v>
      </c>
      <c r="I430">
        <v>96</v>
      </c>
    </row>
    <row r="431" spans="1:9" x14ac:dyDescent="0.3">
      <c r="A431" t="s">
        <v>882</v>
      </c>
      <c r="B431" s="1">
        <v>45355</v>
      </c>
      <c r="C431" t="s">
        <v>883</v>
      </c>
      <c r="D431" t="s">
        <v>77</v>
      </c>
      <c r="E431" t="s">
        <v>13</v>
      </c>
      <c r="F431">
        <v>6</v>
      </c>
      <c r="G431">
        <v>2203</v>
      </c>
      <c r="H431">
        <v>13220</v>
      </c>
      <c r="I431">
        <v>848</v>
      </c>
    </row>
    <row r="432" spans="1:9" x14ac:dyDescent="0.3">
      <c r="A432" t="s">
        <v>884</v>
      </c>
      <c r="B432" s="1">
        <v>45216</v>
      </c>
      <c r="C432" t="s">
        <v>885</v>
      </c>
      <c r="D432" t="s">
        <v>36</v>
      </c>
      <c r="E432" t="s">
        <v>7</v>
      </c>
      <c r="F432">
        <v>1</v>
      </c>
      <c r="G432">
        <v>8699</v>
      </c>
      <c r="H432">
        <v>8699</v>
      </c>
      <c r="I432">
        <v>1536</v>
      </c>
    </row>
    <row r="433" spans="1:9" x14ac:dyDescent="0.3">
      <c r="A433" t="s">
        <v>886</v>
      </c>
      <c r="B433" s="1">
        <v>45135</v>
      </c>
      <c r="C433" t="s">
        <v>887</v>
      </c>
      <c r="D433" t="s">
        <v>22</v>
      </c>
      <c r="E433" t="s">
        <v>7</v>
      </c>
      <c r="F433">
        <v>6</v>
      </c>
      <c r="G433">
        <v>4053</v>
      </c>
      <c r="H433">
        <v>24319</v>
      </c>
      <c r="I433">
        <v>163</v>
      </c>
    </row>
    <row r="434" spans="1:9" x14ac:dyDescent="0.3">
      <c r="A434" t="s">
        <v>888</v>
      </c>
      <c r="B434" s="1">
        <v>44527</v>
      </c>
      <c r="C434" t="s">
        <v>889</v>
      </c>
      <c r="D434" t="s">
        <v>8</v>
      </c>
      <c r="E434" t="s">
        <v>19</v>
      </c>
      <c r="F434">
        <v>18</v>
      </c>
      <c r="G434">
        <v>5712</v>
      </c>
      <c r="H434">
        <v>102809</v>
      </c>
      <c r="I434">
        <v>467</v>
      </c>
    </row>
    <row r="435" spans="1:9" x14ac:dyDescent="0.3">
      <c r="A435" t="s">
        <v>890</v>
      </c>
      <c r="B435" s="1">
        <v>44083</v>
      </c>
      <c r="C435" t="s">
        <v>891</v>
      </c>
      <c r="D435" t="s">
        <v>49</v>
      </c>
      <c r="E435" t="s">
        <v>7</v>
      </c>
      <c r="F435">
        <v>15</v>
      </c>
      <c r="G435">
        <v>3586</v>
      </c>
      <c r="H435">
        <v>53784</v>
      </c>
      <c r="I435">
        <v>1554</v>
      </c>
    </row>
    <row r="436" spans="1:9" x14ac:dyDescent="0.3">
      <c r="A436" t="s">
        <v>892</v>
      </c>
      <c r="B436" s="1">
        <v>45398</v>
      </c>
      <c r="C436" t="s">
        <v>893</v>
      </c>
      <c r="D436" t="s">
        <v>29</v>
      </c>
      <c r="E436" t="s">
        <v>13</v>
      </c>
      <c r="F436">
        <v>15</v>
      </c>
      <c r="G436">
        <v>4219</v>
      </c>
      <c r="H436">
        <v>63285</v>
      </c>
      <c r="I436">
        <v>705</v>
      </c>
    </row>
    <row r="437" spans="1:9" x14ac:dyDescent="0.3">
      <c r="A437" t="s">
        <v>894</v>
      </c>
      <c r="B437" s="1">
        <v>44796</v>
      </c>
      <c r="C437" t="s">
        <v>895</v>
      </c>
      <c r="D437" t="s">
        <v>60</v>
      </c>
      <c r="E437" t="s">
        <v>19</v>
      </c>
      <c r="F437">
        <v>16</v>
      </c>
      <c r="G437">
        <v>6284</v>
      </c>
      <c r="H437">
        <v>100550</v>
      </c>
      <c r="I437">
        <v>310</v>
      </c>
    </row>
    <row r="438" spans="1:9" x14ac:dyDescent="0.3">
      <c r="A438" t="s">
        <v>896</v>
      </c>
      <c r="B438" s="1">
        <v>45469</v>
      </c>
      <c r="C438" t="s">
        <v>897</v>
      </c>
      <c r="D438" t="s">
        <v>77</v>
      </c>
      <c r="E438" t="s">
        <v>7</v>
      </c>
      <c r="F438">
        <v>14</v>
      </c>
      <c r="G438">
        <v>2961</v>
      </c>
      <c r="H438">
        <v>41458</v>
      </c>
      <c r="I438">
        <v>424</v>
      </c>
    </row>
    <row r="439" spans="1:9" x14ac:dyDescent="0.3">
      <c r="A439" t="s">
        <v>898</v>
      </c>
      <c r="B439" s="1">
        <v>45623</v>
      </c>
      <c r="C439" t="s">
        <v>899</v>
      </c>
      <c r="D439" t="s">
        <v>77</v>
      </c>
      <c r="E439" t="s">
        <v>19</v>
      </c>
      <c r="F439">
        <v>9</v>
      </c>
      <c r="G439">
        <v>1167</v>
      </c>
      <c r="H439">
        <v>10502</v>
      </c>
      <c r="I439">
        <v>188</v>
      </c>
    </row>
    <row r="440" spans="1:9" x14ac:dyDescent="0.3">
      <c r="A440" t="s">
        <v>900</v>
      </c>
      <c r="B440" s="1">
        <v>44571</v>
      </c>
      <c r="C440" t="s">
        <v>901</v>
      </c>
      <c r="D440" t="s">
        <v>77</v>
      </c>
      <c r="E440" t="s">
        <v>7</v>
      </c>
      <c r="F440">
        <v>26</v>
      </c>
      <c r="G440">
        <v>9274</v>
      </c>
      <c r="H440">
        <v>241124</v>
      </c>
      <c r="I440">
        <v>1534</v>
      </c>
    </row>
    <row r="441" spans="1:9" x14ac:dyDescent="0.3">
      <c r="A441" t="s">
        <v>902</v>
      </c>
      <c r="B441" s="1">
        <v>45717</v>
      </c>
      <c r="C441" t="s">
        <v>903</v>
      </c>
      <c r="D441" t="s">
        <v>36</v>
      </c>
      <c r="E441" t="s">
        <v>13</v>
      </c>
      <c r="F441">
        <v>18</v>
      </c>
      <c r="G441">
        <v>3486</v>
      </c>
      <c r="H441">
        <v>62756</v>
      </c>
      <c r="I441">
        <v>3126</v>
      </c>
    </row>
    <row r="442" spans="1:9" x14ac:dyDescent="0.3">
      <c r="A442" t="s">
        <v>904</v>
      </c>
      <c r="B442" s="1">
        <v>45586</v>
      </c>
      <c r="C442" t="s">
        <v>905</v>
      </c>
      <c r="D442" t="s">
        <v>89</v>
      </c>
      <c r="E442" t="s">
        <v>13</v>
      </c>
      <c r="F442">
        <v>64</v>
      </c>
      <c r="G442">
        <v>5423</v>
      </c>
      <c r="H442">
        <v>347048</v>
      </c>
      <c r="I442">
        <v>5416</v>
      </c>
    </row>
    <row r="443" spans="1:9" x14ac:dyDescent="0.3">
      <c r="A443" t="s">
        <v>906</v>
      </c>
      <c r="B443" s="1">
        <v>44784</v>
      </c>
      <c r="C443" t="s">
        <v>907</v>
      </c>
      <c r="D443" t="s">
        <v>60</v>
      </c>
      <c r="E443" t="s">
        <v>13</v>
      </c>
      <c r="F443">
        <v>4</v>
      </c>
      <c r="G443">
        <v>3566</v>
      </c>
      <c r="H443">
        <v>14262</v>
      </c>
      <c r="I443">
        <v>1882</v>
      </c>
    </row>
    <row r="444" spans="1:9" x14ac:dyDescent="0.3">
      <c r="A444" t="s">
        <v>908</v>
      </c>
      <c r="B444" s="1">
        <v>45142</v>
      </c>
      <c r="C444" t="s">
        <v>909</v>
      </c>
      <c r="D444" t="s">
        <v>89</v>
      </c>
      <c r="E444" t="s">
        <v>7</v>
      </c>
      <c r="F444">
        <v>13</v>
      </c>
      <c r="G444">
        <v>6189</v>
      </c>
      <c r="H444">
        <v>80451</v>
      </c>
      <c r="I444">
        <v>2230</v>
      </c>
    </row>
    <row r="445" spans="1:9" x14ac:dyDescent="0.3">
      <c r="A445" t="s">
        <v>910</v>
      </c>
      <c r="B445" s="1">
        <v>43946</v>
      </c>
      <c r="C445" t="s">
        <v>911</v>
      </c>
      <c r="D445" t="s">
        <v>34</v>
      </c>
      <c r="E445" t="s">
        <v>13</v>
      </c>
      <c r="F445">
        <v>8</v>
      </c>
      <c r="G445">
        <v>3687</v>
      </c>
      <c r="H445">
        <v>29494</v>
      </c>
      <c r="I445">
        <v>1206</v>
      </c>
    </row>
    <row r="446" spans="1:9" x14ac:dyDescent="0.3">
      <c r="A446" t="s">
        <v>912</v>
      </c>
      <c r="B446" s="1">
        <v>45640</v>
      </c>
      <c r="C446" t="s">
        <v>913</v>
      </c>
      <c r="D446" t="s">
        <v>77</v>
      </c>
      <c r="E446" t="s">
        <v>7</v>
      </c>
      <c r="F446">
        <v>2</v>
      </c>
      <c r="G446">
        <v>2170</v>
      </c>
      <c r="H446">
        <v>4339</v>
      </c>
      <c r="I446">
        <v>355</v>
      </c>
    </row>
    <row r="447" spans="1:9" x14ac:dyDescent="0.3">
      <c r="A447" t="s">
        <v>914</v>
      </c>
      <c r="B447" s="1">
        <v>44767</v>
      </c>
      <c r="C447" t="s">
        <v>915</v>
      </c>
      <c r="D447" t="s">
        <v>15</v>
      </c>
      <c r="E447" t="s">
        <v>19</v>
      </c>
      <c r="F447">
        <v>34</v>
      </c>
      <c r="G447">
        <v>5419</v>
      </c>
      <c r="H447">
        <v>184256</v>
      </c>
      <c r="I447">
        <v>2492</v>
      </c>
    </row>
    <row r="448" spans="1:9" x14ac:dyDescent="0.3">
      <c r="A448" t="s">
        <v>916</v>
      </c>
      <c r="B448" s="1">
        <v>44785</v>
      </c>
      <c r="C448" t="s">
        <v>917</v>
      </c>
      <c r="D448" t="s">
        <v>46</v>
      </c>
      <c r="E448" t="s">
        <v>19</v>
      </c>
      <c r="F448">
        <v>52</v>
      </c>
      <c r="G448">
        <v>7799</v>
      </c>
      <c r="H448">
        <v>405552</v>
      </c>
      <c r="I448">
        <v>4680</v>
      </c>
    </row>
    <row r="449" spans="1:9" x14ac:dyDescent="0.3">
      <c r="A449" t="s">
        <v>918</v>
      </c>
      <c r="B449" s="1">
        <v>45159</v>
      </c>
      <c r="C449" t="s">
        <v>919</v>
      </c>
      <c r="D449" t="s">
        <v>69</v>
      </c>
      <c r="E449" t="s">
        <v>13</v>
      </c>
      <c r="F449">
        <v>9</v>
      </c>
      <c r="G449">
        <v>679</v>
      </c>
      <c r="H449">
        <v>6115</v>
      </c>
      <c r="I449">
        <v>85</v>
      </c>
    </row>
    <row r="450" spans="1:9" x14ac:dyDescent="0.3">
      <c r="A450" t="s">
        <v>920</v>
      </c>
      <c r="B450" s="1">
        <v>44816</v>
      </c>
      <c r="C450" t="s">
        <v>921</v>
      </c>
      <c r="D450" t="s">
        <v>36</v>
      </c>
      <c r="E450" t="s">
        <v>7</v>
      </c>
      <c r="F450">
        <v>6</v>
      </c>
      <c r="G450">
        <v>4226</v>
      </c>
      <c r="H450">
        <v>25354</v>
      </c>
      <c r="I450">
        <v>1012</v>
      </c>
    </row>
    <row r="451" spans="1:9" x14ac:dyDescent="0.3">
      <c r="A451" t="s">
        <v>922</v>
      </c>
      <c r="B451" s="1">
        <v>45158</v>
      </c>
      <c r="C451" t="s">
        <v>923</v>
      </c>
      <c r="D451" t="s">
        <v>18</v>
      </c>
      <c r="E451" t="s">
        <v>13</v>
      </c>
      <c r="F451">
        <v>10</v>
      </c>
      <c r="G451">
        <v>8424</v>
      </c>
      <c r="H451">
        <v>84242</v>
      </c>
      <c r="I451">
        <v>2462</v>
      </c>
    </row>
    <row r="452" spans="1:9" x14ac:dyDescent="0.3">
      <c r="A452" t="s">
        <v>924</v>
      </c>
      <c r="B452" s="1">
        <v>45173</v>
      </c>
      <c r="C452" t="s">
        <v>925</v>
      </c>
      <c r="D452" t="s">
        <v>89</v>
      </c>
      <c r="E452" t="s">
        <v>19</v>
      </c>
      <c r="F452">
        <v>27</v>
      </c>
      <c r="G452">
        <v>8939</v>
      </c>
      <c r="H452">
        <v>241362</v>
      </c>
      <c r="I452">
        <v>5058</v>
      </c>
    </row>
    <row r="453" spans="1:9" x14ac:dyDescent="0.3">
      <c r="A453" t="s">
        <v>926</v>
      </c>
      <c r="B453" s="1">
        <v>45082</v>
      </c>
      <c r="C453" t="s">
        <v>927</v>
      </c>
      <c r="D453" t="s">
        <v>22</v>
      </c>
      <c r="E453" t="s">
        <v>7</v>
      </c>
      <c r="F453">
        <v>16</v>
      </c>
      <c r="G453">
        <v>9252</v>
      </c>
      <c r="H453">
        <v>148025</v>
      </c>
      <c r="I453">
        <v>4441</v>
      </c>
    </row>
    <row r="454" spans="1:9" x14ac:dyDescent="0.3">
      <c r="A454" t="s">
        <v>928</v>
      </c>
      <c r="B454" s="1">
        <v>45440</v>
      </c>
      <c r="C454" t="s">
        <v>929</v>
      </c>
      <c r="D454" t="s">
        <v>29</v>
      </c>
      <c r="E454" t="s">
        <v>7</v>
      </c>
      <c r="F454">
        <v>54</v>
      </c>
      <c r="G454">
        <v>5861</v>
      </c>
      <c r="H454">
        <v>316510</v>
      </c>
      <c r="I454">
        <v>6908</v>
      </c>
    </row>
    <row r="455" spans="1:9" x14ac:dyDescent="0.3">
      <c r="A455" t="s">
        <v>930</v>
      </c>
      <c r="B455" s="1">
        <v>44994</v>
      </c>
      <c r="C455" t="s">
        <v>931</v>
      </c>
      <c r="D455" t="s">
        <v>8</v>
      </c>
      <c r="E455" t="s">
        <v>7</v>
      </c>
      <c r="F455">
        <v>3</v>
      </c>
      <c r="G455">
        <v>5670</v>
      </c>
      <c r="H455">
        <v>17009</v>
      </c>
      <c r="I455">
        <v>728</v>
      </c>
    </row>
    <row r="456" spans="1:9" x14ac:dyDescent="0.3">
      <c r="A456" t="s">
        <v>932</v>
      </c>
      <c r="B456" s="1">
        <v>44770</v>
      </c>
      <c r="C456" t="s">
        <v>933</v>
      </c>
      <c r="D456" t="s">
        <v>89</v>
      </c>
      <c r="E456" t="s">
        <v>19</v>
      </c>
      <c r="F456">
        <v>30</v>
      </c>
      <c r="G456">
        <v>2756</v>
      </c>
      <c r="H456">
        <v>82678</v>
      </c>
      <c r="I456">
        <v>1828</v>
      </c>
    </row>
    <row r="457" spans="1:9" x14ac:dyDescent="0.3">
      <c r="A457" t="s">
        <v>934</v>
      </c>
      <c r="B457" s="1">
        <v>45335</v>
      </c>
      <c r="C457" t="s">
        <v>935</v>
      </c>
      <c r="D457" t="s">
        <v>8</v>
      </c>
      <c r="E457" t="s">
        <v>13</v>
      </c>
      <c r="F457">
        <v>3</v>
      </c>
      <c r="G457">
        <v>2719</v>
      </c>
      <c r="H457">
        <v>8157</v>
      </c>
      <c r="I457">
        <v>999</v>
      </c>
    </row>
    <row r="458" spans="1:9" x14ac:dyDescent="0.3">
      <c r="A458" t="s">
        <v>936</v>
      </c>
      <c r="B458" s="1">
        <v>44414</v>
      </c>
      <c r="C458" t="s">
        <v>937</v>
      </c>
      <c r="D458" t="s">
        <v>32</v>
      </c>
      <c r="E458" t="s">
        <v>13</v>
      </c>
      <c r="F458">
        <v>20</v>
      </c>
      <c r="G458">
        <v>2291</v>
      </c>
      <c r="H458">
        <v>45829</v>
      </c>
      <c r="I458">
        <v>149</v>
      </c>
    </row>
    <row r="459" spans="1:9" x14ac:dyDescent="0.3">
      <c r="A459" t="s">
        <v>938</v>
      </c>
      <c r="B459" s="1">
        <v>44682</v>
      </c>
      <c r="C459" t="s">
        <v>939</v>
      </c>
      <c r="D459" t="s">
        <v>69</v>
      </c>
      <c r="E459" t="s">
        <v>19</v>
      </c>
      <c r="F459">
        <v>21</v>
      </c>
      <c r="G459">
        <v>8032</v>
      </c>
      <c r="H459">
        <v>168667</v>
      </c>
      <c r="I459">
        <v>3967</v>
      </c>
    </row>
    <row r="460" spans="1:9" x14ac:dyDescent="0.3">
      <c r="A460" t="s">
        <v>940</v>
      </c>
      <c r="B460" s="1">
        <v>45362</v>
      </c>
      <c r="C460" t="s">
        <v>941</v>
      </c>
      <c r="D460" t="s">
        <v>89</v>
      </c>
      <c r="E460" t="s">
        <v>13</v>
      </c>
      <c r="F460">
        <v>7</v>
      </c>
      <c r="G460">
        <v>7405</v>
      </c>
      <c r="H460">
        <v>51836</v>
      </c>
      <c r="I460">
        <v>1982</v>
      </c>
    </row>
    <row r="461" spans="1:9" x14ac:dyDescent="0.3">
      <c r="A461" t="s">
        <v>942</v>
      </c>
      <c r="B461" s="1">
        <v>44018</v>
      </c>
      <c r="C461" t="s">
        <v>943</v>
      </c>
      <c r="D461" t="s">
        <v>54</v>
      </c>
      <c r="E461" t="s">
        <v>13</v>
      </c>
      <c r="F461">
        <v>5</v>
      </c>
      <c r="G461">
        <v>10676</v>
      </c>
      <c r="H461">
        <v>53382</v>
      </c>
      <c r="I461">
        <v>4507</v>
      </c>
    </row>
    <row r="462" spans="1:9" x14ac:dyDescent="0.3">
      <c r="A462" t="s">
        <v>944</v>
      </c>
      <c r="B462" s="1">
        <v>44182</v>
      </c>
      <c r="C462" t="s">
        <v>945</v>
      </c>
      <c r="D462" t="s">
        <v>60</v>
      </c>
      <c r="E462" t="s">
        <v>19</v>
      </c>
      <c r="F462">
        <v>13</v>
      </c>
      <c r="G462">
        <v>3323</v>
      </c>
      <c r="H462">
        <v>43194</v>
      </c>
      <c r="I462">
        <v>177</v>
      </c>
    </row>
    <row r="463" spans="1:9" x14ac:dyDescent="0.3">
      <c r="A463" t="s">
        <v>946</v>
      </c>
      <c r="B463" s="1">
        <v>45715</v>
      </c>
      <c r="C463" t="s">
        <v>947</v>
      </c>
      <c r="D463" t="s">
        <v>29</v>
      </c>
      <c r="E463" t="s">
        <v>7</v>
      </c>
      <c r="F463">
        <v>42</v>
      </c>
      <c r="G463">
        <v>4227</v>
      </c>
      <c r="H463">
        <v>177537</v>
      </c>
      <c r="I463">
        <v>2691</v>
      </c>
    </row>
    <row r="464" spans="1:9" x14ac:dyDescent="0.3">
      <c r="A464" t="s">
        <v>948</v>
      </c>
      <c r="B464" s="1">
        <v>44917</v>
      </c>
      <c r="C464" t="s">
        <v>949</v>
      </c>
      <c r="D464" t="s">
        <v>69</v>
      </c>
      <c r="E464" t="s">
        <v>19</v>
      </c>
      <c r="F464">
        <v>7</v>
      </c>
      <c r="G464">
        <v>5642</v>
      </c>
      <c r="H464">
        <v>39493</v>
      </c>
      <c r="I464">
        <v>867</v>
      </c>
    </row>
    <row r="465" spans="1:9" x14ac:dyDescent="0.3">
      <c r="A465" t="s">
        <v>950</v>
      </c>
      <c r="B465" s="1">
        <v>45702</v>
      </c>
      <c r="C465" t="s">
        <v>951</v>
      </c>
      <c r="D465" t="s">
        <v>36</v>
      </c>
      <c r="E465" t="s">
        <v>7</v>
      </c>
      <c r="F465">
        <v>12</v>
      </c>
      <c r="G465">
        <v>7667</v>
      </c>
      <c r="H465">
        <v>92004</v>
      </c>
      <c r="I465">
        <v>1212</v>
      </c>
    </row>
    <row r="466" spans="1:9" x14ac:dyDescent="0.3">
      <c r="A466" t="s">
        <v>952</v>
      </c>
      <c r="B466" s="1">
        <v>44932</v>
      </c>
      <c r="C466" t="s">
        <v>953</v>
      </c>
      <c r="D466" t="s">
        <v>29</v>
      </c>
      <c r="E466" t="s">
        <v>7</v>
      </c>
      <c r="F466">
        <v>11</v>
      </c>
      <c r="G466">
        <v>770</v>
      </c>
      <c r="H466">
        <v>8474</v>
      </c>
      <c r="I466">
        <v>92</v>
      </c>
    </row>
    <row r="467" spans="1:9" x14ac:dyDescent="0.3">
      <c r="A467" t="s">
        <v>954</v>
      </c>
      <c r="B467" s="1">
        <v>44115</v>
      </c>
      <c r="C467" t="s">
        <v>955</v>
      </c>
      <c r="D467" t="s">
        <v>54</v>
      </c>
      <c r="E467" t="s">
        <v>7</v>
      </c>
      <c r="F467">
        <v>6</v>
      </c>
      <c r="G467">
        <v>3337</v>
      </c>
      <c r="H467">
        <v>20022</v>
      </c>
      <c r="I467">
        <v>126</v>
      </c>
    </row>
    <row r="468" spans="1:9" x14ac:dyDescent="0.3">
      <c r="A468" t="s">
        <v>956</v>
      </c>
      <c r="B468" s="1">
        <v>45368</v>
      </c>
      <c r="C468" t="s">
        <v>957</v>
      </c>
      <c r="D468" t="s">
        <v>46</v>
      </c>
      <c r="E468" t="s">
        <v>19</v>
      </c>
      <c r="F468">
        <v>27</v>
      </c>
      <c r="G468">
        <v>6308</v>
      </c>
      <c r="H468">
        <v>170316</v>
      </c>
      <c r="I468">
        <v>8478</v>
      </c>
    </row>
    <row r="469" spans="1:9" x14ac:dyDescent="0.3">
      <c r="A469" t="s">
        <v>958</v>
      </c>
      <c r="B469" s="1">
        <v>44698</v>
      </c>
      <c r="C469" t="s">
        <v>959</v>
      </c>
      <c r="D469" t="s">
        <v>49</v>
      </c>
      <c r="E469" t="s">
        <v>7</v>
      </c>
      <c r="F469">
        <v>19</v>
      </c>
      <c r="G469">
        <v>3867</v>
      </c>
      <c r="H469">
        <v>73471</v>
      </c>
      <c r="I469">
        <v>245</v>
      </c>
    </row>
    <row r="470" spans="1:9" x14ac:dyDescent="0.3">
      <c r="A470" t="s">
        <v>960</v>
      </c>
      <c r="B470" s="1">
        <v>44186</v>
      </c>
      <c r="C470" t="s">
        <v>961</v>
      </c>
      <c r="D470" t="s">
        <v>8</v>
      </c>
      <c r="E470" t="s">
        <v>13</v>
      </c>
      <c r="F470">
        <v>15</v>
      </c>
      <c r="G470">
        <v>7197</v>
      </c>
      <c r="H470">
        <v>107962</v>
      </c>
      <c r="I470">
        <v>2677</v>
      </c>
    </row>
    <row r="471" spans="1:9" x14ac:dyDescent="0.3">
      <c r="A471" t="s">
        <v>962</v>
      </c>
      <c r="B471" s="1">
        <v>44856</v>
      </c>
      <c r="C471" t="s">
        <v>963</v>
      </c>
      <c r="D471" t="s">
        <v>22</v>
      </c>
      <c r="E471" t="s">
        <v>7</v>
      </c>
      <c r="F471">
        <v>28</v>
      </c>
      <c r="G471">
        <v>6143</v>
      </c>
      <c r="H471">
        <v>171992</v>
      </c>
      <c r="I471">
        <v>5280</v>
      </c>
    </row>
    <row r="472" spans="1:9" x14ac:dyDescent="0.3">
      <c r="A472" t="s">
        <v>964</v>
      </c>
      <c r="B472" s="1">
        <v>45343</v>
      </c>
      <c r="C472" t="s">
        <v>965</v>
      </c>
      <c r="D472" t="s">
        <v>32</v>
      </c>
      <c r="E472" t="s">
        <v>19</v>
      </c>
      <c r="F472">
        <v>10</v>
      </c>
      <c r="G472">
        <v>10476</v>
      </c>
      <c r="H472">
        <v>104756</v>
      </c>
      <c r="I472">
        <v>7236</v>
      </c>
    </row>
    <row r="473" spans="1:9" x14ac:dyDescent="0.3">
      <c r="A473" t="s">
        <v>966</v>
      </c>
      <c r="B473" s="1">
        <v>44696</v>
      </c>
      <c r="C473" t="s">
        <v>967</v>
      </c>
      <c r="D473" t="s">
        <v>22</v>
      </c>
      <c r="E473" t="s">
        <v>7</v>
      </c>
      <c r="F473">
        <v>15</v>
      </c>
      <c r="G473">
        <v>5356</v>
      </c>
      <c r="H473">
        <v>80347</v>
      </c>
      <c r="I473">
        <v>322</v>
      </c>
    </row>
    <row r="474" spans="1:9" x14ac:dyDescent="0.3">
      <c r="A474" t="s">
        <v>968</v>
      </c>
      <c r="B474" s="1">
        <v>44764</v>
      </c>
      <c r="C474" t="s">
        <v>969</v>
      </c>
      <c r="D474" t="s">
        <v>32</v>
      </c>
      <c r="E474" t="s">
        <v>7</v>
      </c>
      <c r="F474">
        <v>20</v>
      </c>
      <c r="G474">
        <v>1458</v>
      </c>
      <c r="H474">
        <v>29160</v>
      </c>
      <c r="I474">
        <v>80</v>
      </c>
    </row>
    <row r="475" spans="1:9" x14ac:dyDescent="0.3">
      <c r="A475" t="s">
        <v>970</v>
      </c>
      <c r="B475" s="1">
        <v>44543</v>
      </c>
      <c r="C475" t="s">
        <v>971</v>
      </c>
      <c r="D475" t="s">
        <v>46</v>
      </c>
      <c r="E475" t="s">
        <v>19</v>
      </c>
      <c r="F475">
        <v>38</v>
      </c>
      <c r="G475">
        <v>6805</v>
      </c>
      <c r="H475">
        <v>258590</v>
      </c>
      <c r="I475">
        <v>3078</v>
      </c>
    </row>
    <row r="476" spans="1:9" x14ac:dyDescent="0.3">
      <c r="A476" t="s">
        <v>972</v>
      </c>
      <c r="B476" s="1">
        <v>45712</v>
      </c>
      <c r="C476" t="s">
        <v>973</v>
      </c>
      <c r="D476" t="s">
        <v>60</v>
      </c>
      <c r="E476" t="s">
        <v>13</v>
      </c>
      <c r="F476">
        <v>4</v>
      </c>
      <c r="G476">
        <v>10848</v>
      </c>
      <c r="H476">
        <v>43391</v>
      </c>
      <c r="I476">
        <v>3895</v>
      </c>
    </row>
    <row r="477" spans="1:9" x14ac:dyDescent="0.3">
      <c r="A477" t="s">
        <v>974</v>
      </c>
      <c r="B477" s="1">
        <v>44959</v>
      </c>
      <c r="C477" t="s">
        <v>975</v>
      </c>
      <c r="D477" t="s">
        <v>77</v>
      </c>
      <c r="E477" t="s">
        <v>7</v>
      </c>
      <c r="F477">
        <v>7</v>
      </c>
      <c r="G477">
        <v>5130</v>
      </c>
      <c r="H477">
        <v>35911</v>
      </c>
      <c r="I477">
        <v>1485</v>
      </c>
    </row>
    <row r="478" spans="1:9" x14ac:dyDescent="0.3">
      <c r="A478" t="s">
        <v>976</v>
      </c>
      <c r="B478" s="1">
        <v>44561</v>
      </c>
      <c r="C478" t="s">
        <v>977</v>
      </c>
      <c r="D478" t="s">
        <v>22</v>
      </c>
      <c r="E478" t="s">
        <v>13</v>
      </c>
      <c r="F478">
        <v>19</v>
      </c>
      <c r="G478">
        <v>3251</v>
      </c>
      <c r="H478">
        <v>61771</v>
      </c>
      <c r="I478">
        <v>1180</v>
      </c>
    </row>
    <row r="479" spans="1:9" x14ac:dyDescent="0.3">
      <c r="A479" t="s">
        <v>978</v>
      </c>
      <c r="B479" s="1">
        <v>45458</v>
      </c>
      <c r="C479" t="s">
        <v>979</v>
      </c>
      <c r="D479" t="s">
        <v>22</v>
      </c>
      <c r="E479" t="s">
        <v>7</v>
      </c>
      <c r="F479">
        <v>6</v>
      </c>
      <c r="G479">
        <v>3040</v>
      </c>
      <c r="H479">
        <v>18243</v>
      </c>
      <c r="I479">
        <v>2139</v>
      </c>
    </row>
    <row r="480" spans="1:9" x14ac:dyDescent="0.3">
      <c r="A480" t="s">
        <v>980</v>
      </c>
      <c r="B480" s="1">
        <v>45333</v>
      </c>
      <c r="C480" t="s">
        <v>981</v>
      </c>
      <c r="D480" t="s">
        <v>29</v>
      </c>
      <c r="E480" t="s">
        <v>13</v>
      </c>
      <c r="F480">
        <v>10</v>
      </c>
      <c r="G480">
        <v>7672</v>
      </c>
      <c r="H480">
        <v>76718</v>
      </c>
      <c r="I480">
        <v>458</v>
      </c>
    </row>
    <row r="481" spans="1:9" x14ac:dyDescent="0.3">
      <c r="A481" t="s">
        <v>982</v>
      </c>
      <c r="B481" s="1">
        <v>45150</v>
      </c>
      <c r="C481" t="s">
        <v>983</v>
      </c>
      <c r="D481" t="s">
        <v>54</v>
      </c>
      <c r="E481" t="s">
        <v>7</v>
      </c>
      <c r="F481">
        <v>19</v>
      </c>
      <c r="G481">
        <v>6830</v>
      </c>
      <c r="H481">
        <v>129774</v>
      </c>
      <c r="I481">
        <v>3063</v>
      </c>
    </row>
    <row r="482" spans="1:9" x14ac:dyDescent="0.3">
      <c r="A482" t="s">
        <v>984</v>
      </c>
      <c r="B482" s="1">
        <v>44687</v>
      </c>
      <c r="C482" t="s">
        <v>985</v>
      </c>
      <c r="D482" t="s">
        <v>54</v>
      </c>
      <c r="E482" t="s">
        <v>13</v>
      </c>
      <c r="F482">
        <v>3</v>
      </c>
      <c r="G482">
        <v>6685</v>
      </c>
      <c r="H482">
        <v>20055</v>
      </c>
      <c r="I482">
        <v>1686</v>
      </c>
    </row>
    <row r="483" spans="1:9" x14ac:dyDescent="0.3">
      <c r="A483" t="s">
        <v>986</v>
      </c>
      <c r="B483" s="1">
        <v>45308</v>
      </c>
      <c r="C483" t="s">
        <v>987</v>
      </c>
      <c r="D483" t="s">
        <v>18</v>
      </c>
      <c r="E483" t="s">
        <v>13</v>
      </c>
      <c r="F483">
        <v>16</v>
      </c>
      <c r="G483">
        <v>3352</v>
      </c>
      <c r="H483">
        <v>53630</v>
      </c>
      <c r="I483">
        <v>1390</v>
      </c>
    </row>
    <row r="484" spans="1:9" x14ac:dyDescent="0.3">
      <c r="A484" t="s">
        <v>988</v>
      </c>
      <c r="B484" s="1">
        <v>45684</v>
      </c>
      <c r="C484" t="s">
        <v>989</v>
      </c>
      <c r="D484" t="s">
        <v>46</v>
      </c>
      <c r="E484" t="s">
        <v>13</v>
      </c>
      <c r="F484">
        <v>18</v>
      </c>
      <c r="G484">
        <v>8277</v>
      </c>
      <c r="H484">
        <v>148989</v>
      </c>
      <c r="I484">
        <v>3117</v>
      </c>
    </row>
    <row r="485" spans="1:9" x14ac:dyDescent="0.3">
      <c r="A485" t="s">
        <v>990</v>
      </c>
      <c r="B485" s="1">
        <v>45258</v>
      </c>
      <c r="C485" t="s">
        <v>991</v>
      </c>
      <c r="D485" t="s">
        <v>46</v>
      </c>
      <c r="E485" t="s">
        <v>19</v>
      </c>
      <c r="F485">
        <v>51</v>
      </c>
      <c r="G485">
        <v>868</v>
      </c>
      <c r="H485">
        <v>44262</v>
      </c>
      <c r="I485">
        <v>1065</v>
      </c>
    </row>
    <row r="486" spans="1:9" x14ac:dyDescent="0.3">
      <c r="A486" t="s">
        <v>992</v>
      </c>
      <c r="B486" s="1">
        <v>44445</v>
      </c>
      <c r="C486" t="s">
        <v>993</v>
      </c>
      <c r="D486" t="s">
        <v>89</v>
      </c>
      <c r="E486" t="s">
        <v>19</v>
      </c>
      <c r="F486">
        <v>22</v>
      </c>
      <c r="G486">
        <v>6078</v>
      </c>
      <c r="H486">
        <v>133710</v>
      </c>
      <c r="I486">
        <v>3876</v>
      </c>
    </row>
    <row r="487" spans="1:9" x14ac:dyDescent="0.3">
      <c r="A487" t="s">
        <v>994</v>
      </c>
      <c r="B487" s="1">
        <v>44475</v>
      </c>
      <c r="C487" t="s">
        <v>995</v>
      </c>
      <c r="D487" t="s">
        <v>89</v>
      </c>
      <c r="E487" t="s">
        <v>7</v>
      </c>
      <c r="F487">
        <v>24</v>
      </c>
      <c r="G487">
        <v>9519</v>
      </c>
      <c r="H487">
        <v>228464</v>
      </c>
      <c r="I487">
        <v>512</v>
      </c>
    </row>
    <row r="488" spans="1:9" x14ac:dyDescent="0.3">
      <c r="A488" t="s">
        <v>996</v>
      </c>
      <c r="B488" s="1">
        <v>43989</v>
      </c>
      <c r="C488" t="s">
        <v>997</v>
      </c>
      <c r="D488" t="s">
        <v>32</v>
      </c>
      <c r="E488" t="s">
        <v>19</v>
      </c>
      <c r="F488">
        <v>7</v>
      </c>
      <c r="G488">
        <v>5634</v>
      </c>
      <c r="H488">
        <v>39441</v>
      </c>
      <c r="I488">
        <v>1214</v>
      </c>
    </row>
    <row r="489" spans="1:9" x14ac:dyDescent="0.3">
      <c r="A489" t="s">
        <v>998</v>
      </c>
      <c r="B489" s="1">
        <v>45433</v>
      </c>
      <c r="C489" t="s">
        <v>999</v>
      </c>
      <c r="D489" t="s">
        <v>34</v>
      </c>
      <c r="E489" t="s">
        <v>19</v>
      </c>
      <c r="F489">
        <v>19</v>
      </c>
      <c r="G489">
        <v>3116</v>
      </c>
      <c r="H489">
        <v>59207</v>
      </c>
      <c r="I489">
        <v>611</v>
      </c>
    </row>
    <row r="490" spans="1:9" x14ac:dyDescent="0.3">
      <c r="A490" t="s">
        <v>1000</v>
      </c>
      <c r="B490" s="1">
        <v>44048</v>
      </c>
      <c r="C490" t="s">
        <v>1001</v>
      </c>
      <c r="D490" t="s">
        <v>11</v>
      </c>
      <c r="E490" t="s">
        <v>19</v>
      </c>
      <c r="F490">
        <v>1</v>
      </c>
      <c r="G490">
        <v>9130</v>
      </c>
      <c r="H490">
        <v>9130</v>
      </c>
      <c r="I490">
        <v>3043</v>
      </c>
    </row>
    <row r="491" spans="1:9" x14ac:dyDescent="0.3">
      <c r="A491" t="s">
        <v>1002</v>
      </c>
      <c r="B491" s="1">
        <v>44119</v>
      </c>
      <c r="C491" t="s">
        <v>1003</v>
      </c>
      <c r="D491" t="s">
        <v>89</v>
      </c>
      <c r="E491" t="s">
        <v>19</v>
      </c>
      <c r="F491">
        <v>3</v>
      </c>
      <c r="G491">
        <v>711</v>
      </c>
      <c r="H491">
        <v>2133</v>
      </c>
      <c r="I491">
        <v>300</v>
      </c>
    </row>
    <row r="492" spans="1:9" x14ac:dyDescent="0.3">
      <c r="A492" t="s">
        <v>1004</v>
      </c>
      <c r="B492" s="1">
        <v>44574</v>
      </c>
      <c r="C492" t="s">
        <v>1005</v>
      </c>
      <c r="D492" t="s">
        <v>60</v>
      </c>
      <c r="E492" t="s">
        <v>13</v>
      </c>
      <c r="F492">
        <v>36</v>
      </c>
      <c r="G492">
        <v>10076</v>
      </c>
      <c r="H492">
        <v>362722</v>
      </c>
      <c r="I492">
        <v>5998</v>
      </c>
    </row>
    <row r="493" spans="1:9" x14ac:dyDescent="0.3">
      <c r="A493" t="s">
        <v>1006</v>
      </c>
      <c r="B493" s="1">
        <v>45125</v>
      </c>
      <c r="C493" t="s">
        <v>1007</v>
      </c>
      <c r="D493" t="s">
        <v>49</v>
      </c>
      <c r="E493" t="s">
        <v>19</v>
      </c>
      <c r="F493">
        <v>18</v>
      </c>
      <c r="G493">
        <v>6662</v>
      </c>
      <c r="H493">
        <v>119908</v>
      </c>
      <c r="I493">
        <v>3178</v>
      </c>
    </row>
    <row r="494" spans="1:9" x14ac:dyDescent="0.3">
      <c r="A494" t="s">
        <v>1008</v>
      </c>
      <c r="B494" s="1">
        <v>44903</v>
      </c>
      <c r="C494" t="s">
        <v>1009</v>
      </c>
      <c r="D494" t="s">
        <v>29</v>
      </c>
      <c r="E494" t="s">
        <v>7</v>
      </c>
      <c r="F494">
        <v>10</v>
      </c>
      <c r="G494">
        <v>7456</v>
      </c>
      <c r="H494">
        <v>74559</v>
      </c>
      <c r="I494">
        <v>1969</v>
      </c>
    </row>
    <row r="495" spans="1:9" x14ac:dyDescent="0.3">
      <c r="A495" t="s">
        <v>1010</v>
      </c>
      <c r="B495" s="1">
        <v>45033</v>
      </c>
      <c r="C495" t="s">
        <v>1011</v>
      </c>
      <c r="D495" t="s">
        <v>8</v>
      </c>
      <c r="E495" t="s">
        <v>7</v>
      </c>
      <c r="F495">
        <v>18</v>
      </c>
      <c r="G495">
        <v>3372</v>
      </c>
      <c r="H495">
        <v>60694</v>
      </c>
      <c r="I495">
        <v>700</v>
      </c>
    </row>
    <row r="496" spans="1:9" x14ac:dyDescent="0.3">
      <c r="A496" t="s">
        <v>1012</v>
      </c>
      <c r="B496" s="1">
        <v>44005</v>
      </c>
      <c r="C496" t="s">
        <v>1013</v>
      </c>
      <c r="D496" t="s">
        <v>89</v>
      </c>
      <c r="E496" t="s">
        <v>19</v>
      </c>
      <c r="F496">
        <v>4</v>
      </c>
      <c r="G496">
        <v>8086</v>
      </c>
      <c r="H496">
        <v>32346</v>
      </c>
      <c r="I496">
        <v>1202</v>
      </c>
    </row>
    <row r="497" spans="1:9" x14ac:dyDescent="0.3">
      <c r="A497" t="s">
        <v>1014</v>
      </c>
      <c r="B497" s="1">
        <v>44581</v>
      </c>
      <c r="C497" t="s">
        <v>1015</v>
      </c>
      <c r="D497" t="s">
        <v>29</v>
      </c>
      <c r="E497" t="s">
        <v>7</v>
      </c>
      <c r="F497">
        <v>6</v>
      </c>
      <c r="G497">
        <v>8049</v>
      </c>
      <c r="H497">
        <v>48292</v>
      </c>
      <c r="I497">
        <v>2428</v>
      </c>
    </row>
    <row r="498" spans="1:9" x14ac:dyDescent="0.3">
      <c r="A498" t="s">
        <v>1016</v>
      </c>
      <c r="B498" s="1">
        <v>45248</v>
      </c>
      <c r="C498" t="s">
        <v>1017</v>
      </c>
      <c r="D498" t="s">
        <v>36</v>
      </c>
      <c r="E498" t="s">
        <v>19</v>
      </c>
      <c r="F498">
        <v>10</v>
      </c>
      <c r="G498">
        <v>1525</v>
      </c>
      <c r="H498">
        <v>15254</v>
      </c>
      <c r="I498">
        <v>494</v>
      </c>
    </row>
    <row r="499" spans="1:9" x14ac:dyDescent="0.3">
      <c r="A499" t="s">
        <v>1018</v>
      </c>
      <c r="B499" s="1">
        <v>44095</v>
      </c>
      <c r="C499" t="s">
        <v>1019</v>
      </c>
      <c r="D499" t="s">
        <v>46</v>
      </c>
      <c r="E499" t="s">
        <v>19</v>
      </c>
      <c r="F499">
        <v>17</v>
      </c>
      <c r="G499">
        <v>3926</v>
      </c>
      <c r="H499">
        <v>66746</v>
      </c>
      <c r="I499">
        <v>1789</v>
      </c>
    </row>
    <row r="500" spans="1:9" x14ac:dyDescent="0.3">
      <c r="A500" t="s">
        <v>1020</v>
      </c>
      <c r="B500" s="1">
        <v>44358</v>
      </c>
      <c r="C500" t="s">
        <v>1021</v>
      </c>
      <c r="D500" t="s">
        <v>36</v>
      </c>
      <c r="E500" t="s">
        <v>19</v>
      </c>
      <c r="F500">
        <v>8</v>
      </c>
      <c r="G500">
        <v>1371</v>
      </c>
      <c r="H500">
        <v>10969</v>
      </c>
      <c r="I500">
        <v>457</v>
      </c>
    </row>
    <row r="501" spans="1:9" x14ac:dyDescent="0.3">
      <c r="A501" t="s">
        <v>1022</v>
      </c>
      <c r="B501" s="1">
        <v>45511</v>
      </c>
      <c r="C501" t="s">
        <v>1023</v>
      </c>
      <c r="D501" t="s">
        <v>34</v>
      </c>
      <c r="E501" t="s">
        <v>7</v>
      </c>
      <c r="F501">
        <v>12</v>
      </c>
      <c r="G501">
        <v>6107</v>
      </c>
      <c r="H501">
        <v>73284</v>
      </c>
      <c r="I501">
        <v>1872</v>
      </c>
    </row>
    <row r="502" spans="1:9" x14ac:dyDescent="0.3">
      <c r="A502" t="s">
        <v>1024</v>
      </c>
      <c r="B502" s="1">
        <v>45304</v>
      </c>
      <c r="C502" t="s">
        <v>1025</v>
      </c>
      <c r="D502" t="s">
        <v>18</v>
      </c>
      <c r="E502" t="s">
        <v>13</v>
      </c>
      <c r="F502">
        <v>24</v>
      </c>
      <c r="G502">
        <v>3806</v>
      </c>
      <c r="H502">
        <v>91336</v>
      </c>
      <c r="I502">
        <v>802</v>
      </c>
    </row>
    <row r="503" spans="1:9" x14ac:dyDescent="0.3">
      <c r="A503" t="s">
        <v>1026</v>
      </c>
      <c r="B503" s="1">
        <v>44344</v>
      </c>
      <c r="C503" t="s">
        <v>1027</v>
      </c>
      <c r="D503" t="s">
        <v>60</v>
      </c>
      <c r="E503" t="s">
        <v>7</v>
      </c>
      <c r="F503">
        <v>17</v>
      </c>
      <c r="G503">
        <v>5681</v>
      </c>
      <c r="H503">
        <v>96583</v>
      </c>
      <c r="I503">
        <v>2114</v>
      </c>
    </row>
    <row r="504" spans="1:9" x14ac:dyDescent="0.3">
      <c r="A504" t="s">
        <v>1028</v>
      </c>
      <c r="B504" s="1">
        <v>44360</v>
      </c>
      <c r="C504" t="s">
        <v>1029</v>
      </c>
      <c r="D504" t="s">
        <v>34</v>
      </c>
      <c r="E504" t="s">
        <v>7</v>
      </c>
      <c r="F504">
        <v>3</v>
      </c>
      <c r="G504">
        <v>3747</v>
      </c>
      <c r="H504">
        <v>11241</v>
      </c>
      <c r="I504">
        <v>933</v>
      </c>
    </row>
    <row r="505" spans="1:9" x14ac:dyDescent="0.3">
      <c r="A505" t="s">
        <v>1030</v>
      </c>
      <c r="B505" s="1">
        <v>45041</v>
      </c>
      <c r="C505" t="s">
        <v>1031</v>
      </c>
      <c r="D505" t="s">
        <v>43</v>
      </c>
      <c r="E505" t="s">
        <v>7</v>
      </c>
      <c r="F505">
        <v>11</v>
      </c>
      <c r="G505">
        <v>10192</v>
      </c>
      <c r="H505">
        <v>112110</v>
      </c>
      <c r="I505">
        <v>3870</v>
      </c>
    </row>
    <row r="506" spans="1:9" x14ac:dyDescent="0.3">
      <c r="A506" t="s">
        <v>1032</v>
      </c>
      <c r="B506" s="1">
        <v>45577</v>
      </c>
      <c r="C506" t="s">
        <v>1033</v>
      </c>
      <c r="D506" t="s">
        <v>46</v>
      </c>
      <c r="E506" t="s">
        <v>13</v>
      </c>
      <c r="F506">
        <v>8</v>
      </c>
      <c r="G506">
        <v>7651</v>
      </c>
      <c r="H506">
        <v>61210</v>
      </c>
      <c r="I506">
        <v>250</v>
      </c>
    </row>
    <row r="507" spans="1:9" x14ac:dyDescent="0.3">
      <c r="A507" t="s">
        <v>1034</v>
      </c>
      <c r="B507" s="1">
        <v>44473</v>
      </c>
      <c r="C507" t="s">
        <v>1035</v>
      </c>
      <c r="D507" t="s">
        <v>11</v>
      </c>
      <c r="E507" t="s">
        <v>19</v>
      </c>
      <c r="F507">
        <v>5</v>
      </c>
      <c r="G507">
        <v>4632</v>
      </c>
      <c r="H507">
        <v>23161</v>
      </c>
      <c r="I507">
        <v>1591</v>
      </c>
    </row>
    <row r="508" spans="1:9" x14ac:dyDescent="0.3">
      <c r="A508" t="s">
        <v>1036</v>
      </c>
      <c r="B508" s="1">
        <v>45329</v>
      </c>
      <c r="C508" t="s">
        <v>1037</v>
      </c>
      <c r="D508" t="s">
        <v>54</v>
      </c>
      <c r="E508" t="s">
        <v>7</v>
      </c>
      <c r="F508">
        <v>12</v>
      </c>
      <c r="G508">
        <v>8934</v>
      </c>
      <c r="H508">
        <v>107211</v>
      </c>
      <c r="I508">
        <v>999</v>
      </c>
    </row>
    <row r="509" spans="1:9" x14ac:dyDescent="0.3">
      <c r="A509" t="s">
        <v>1038</v>
      </c>
      <c r="B509" s="1">
        <v>45102</v>
      </c>
      <c r="C509" t="s">
        <v>1039</v>
      </c>
      <c r="D509" t="s">
        <v>69</v>
      </c>
      <c r="E509" t="s">
        <v>7</v>
      </c>
      <c r="F509">
        <v>4</v>
      </c>
      <c r="G509">
        <v>680</v>
      </c>
      <c r="H509">
        <v>2720</v>
      </c>
      <c r="I509">
        <v>544</v>
      </c>
    </row>
    <row r="510" spans="1:9" x14ac:dyDescent="0.3">
      <c r="A510" t="s">
        <v>1040</v>
      </c>
      <c r="B510" s="1">
        <v>44410</v>
      </c>
      <c r="C510" t="s">
        <v>1041</v>
      </c>
      <c r="D510" t="s">
        <v>89</v>
      </c>
      <c r="E510" t="s">
        <v>13</v>
      </c>
      <c r="F510">
        <v>20</v>
      </c>
      <c r="G510">
        <v>544</v>
      </c>
      <c r="H510">
        <v>10882</v>
      </c>
      <c r="I510">
        <v>142</v>
      </c>
    </row>
    <row r="511" spans="1:9" x14ac:dyDescent="0.3">
      <c r="A511" t="s">
        <v>1042</v>
      </c>
      <c r="B511" s="1">
        <v>44637</v>
      </c>
      <c r="C511" t="s">
        <v>1043</v>
      </c>
      <c r="D511" t="s">
        <v>43</v>
      </c>
      <c r="E511" t="s">
        <v>7</v>
      </c>
      <c r="F511">
        <v>7</v>
      </c>
      <c r="G511">
        <v>6324</v>
      </c>
      <c r="H511">
        <v>44269</v>
      </c>
      <c r="I511">
        <v>2661</v>
      </c>
    </row>
    <row r="512" spans="1:9" x14ac:dyDescent="0.3">
      <c r="A512" t="s">
        <v>1044</v>
      </c>
      <c r="B512" s="1">
        <v>45329</v>
      </c>
      <c r="C512" t="s">
        <v>1045</v>
      </c>
      <c r="D512" t="s">
        <v>36</v>
      </c>
      <c r="E512" t="s">
        <v>7</v>
      </c>
      <c r="F512">
        <v>36</v>
      </c>
      <c r="G512">
        <v>2266</v>
      </c>
      <c r="H512">
        <v>81558</v>
      </c>
      <c r="I512">
        <v>270</v>
      </c>
    </row>
    <row r="513" spans="1:9" x14ac:dyDescent="0.3">
      <c r="A513" t="s">
        <v>1046</v>
      </c>
      <c r="B513" s="1">
        <v>45554</v>
      </c>
      <c r="C513" t="s">
        <v>1047</v>
      </c>
      <c r="D513" t="s">
        <v>69</v>
      </c>
      <c r="E513" t="s">
        <v>19</v>
      </c>
      <c r="F513">
        <v>6</v>
      </c>
      <c r="G513">
        <v>11055</v>
      </c>
      <c r="H513">
        <v>66332</v>
      </c>
      <c r="I513">
        <v>8678</v>
      </c>
    </row>
    <row r="514" spans="1:9" x14ac:dyDescent="0.3">
      <c r="A514" t="s">
        <v>1048</v>
      </c>
      <c r="B514" s="1">
        <v>44995</v>
      </c>
      <c r="C514" t="s">
        <v>1049</v>
      </c>
      <c r="D514" t="s">
        <v>34</v>
      </c>
      <c r="E514" t="s">
        <v>7</v>
      </c>
      <c r="F514">
        <v>15</v>
      </c>
      <c r="G514">
        <v>10172</v>
      </c>
      <c r="H514">
        <v>152581</v>
      </c>
      <c r="I514">
        <v>3301</v>
      </c>
    </row>
    <row r="515" spans="1:9" x14ac:dyDescent="0.3">
      <c r="A515" t="s">
        <v>1050</v>
      </c>
      <c r="B515" s="1">
        <v>44053</v>
      </c>
      <c r="C515" t="s">
        <v>1051</v>
      </c>
      <c r="D515" t="s">
        <v>49</v>
      </c>
      <c r="E515" t="s">
        <v>13</v>
      </c>
      <c r="F515">
        <v>7</v>
      </c>
      <c r="G515">
        <v>10528</v>
      </c>
      <c r="H515">
        <v>73696</v>
      </c>
      <c r="I515">
        <v>4585</v>
      </c>
    </row>
    <row r="516" spans="1:9" x14ac:dyDescent="0.3">
      <c r="A516" t="s">
        <v>1052</v>
      </c>
      <c r="B516" s="1">
        <v>45001</v>
      </c>
      <c r="C516" t="s">
        <v>1053</v>
      </c>
      <c r="D516" t="s">
        <v>29</v>
      </c>
      <c r="E516" t="s">
        <v>7</v>
      </c>
      <c r="F516">
        <v>30</v>
      </c>
      <c r="G516">
        <v>3649</v>
      </c>
      <c r="H516">
        <v>109470</v>
      </c>
      <c r="I516">
        <v>2670</v>
      </c>
    </row>
    <row r="517" spans="1:9" x14ac:dyDescent="0.3">
      <c r="A517" t="s">
        <v>1054</v>
      </c>
      <c r="B517" s="1">
        <v>43955</v>
      </c>
      <c r="C517" t="s">
        <v>1055</v>
      </c>
      <c r="D517" t="s">
        <v>11</v>
      </c>
      <c r="E517" t="s">
        <v>19</v>
      </c>
      <c r="F517">
        <v>21</v>
      </c>
      <c r="G517">
        <v>8065</v>
      </c>
      <c r="H517">
        <v>169362</v>
      </c>
      <c r="I517">
        <v>3450</v>
      </c>
    </row>
    <row r="518" spans="1:9" x14ac:dyDescent="0.3">
      <c r="A518" t="s">
        <v>1056</v>
      </c>
      <c r="B518" s="1">
        <v>45580</v>
      </c>
      <c r="C518" t="s">
        <v>1057</v>
      </c>
      <c r="D518" t="s">
        <v>77</v>
      </c>
      <c r="E518" t="s">
        <v>13</v>
      </c>
      <c r="F518">
        <v>9</v>
      </c>
      <c r="G518">
        <v>4719</v>
      </c>
      <c r="H518">
        <v>42467</v>
      </c>
      <c r="I518">
        <v>1778</v>
      </c>
    </row>
    <row r="519" spans="1:9" x14ac:dyDescent="0.3">
      <c r="A519" t="s">
        <v>1058</v>
      </c>
      <c r="B519" s="1">
        <v>44721</v>
      </c>
      <c r="C519" t="s">
        <v>1059</v>
      </c>
      <c r="D519" t="s">
        <v>36</v>
      </c>
      <c r="E519" t="s">
        <v>19</v>
      </c>
      <c r="F519">
        <v>10</v>
      </c>
      <c r="G519">
        <v>7323</v>
      </c>
      <c r="H519">
        <v>73227</v>
      </c>
      <c r="I519">
        <v>2317</v>
      </c>
    </row>
    <row r="520" spans="1:9" x14ac:dyDescent="0.3">
      <c r="A520" t="s">
        <v>1060</v>
      </c>
      <c r="B520" s="1">
        <v>45025</v>
      </c>
      <c r="C520" t="s">
        <v>498</v>
      </c>
      <c r="D520" t="s">
        <v>60</v>
      </c>
      <c r="E520" t="s">
        <v>13</v>
      </c>
      <c r="F520">
        <v>16</v>
      </c>
      <c r="G520">
        <v>2137</v>
      </c>
      <c r="H520">
        <v>34190</v>
      </c>
      <c r="I520">
        <v>574</v>
      </c>
    </row>
    <row r="521" spans="1:9" x14ac:dyDescent="0.3">
      <c r="A521" t="s">
        <v>1061</v>
      </c>
      <c r="B521" s="1">
        <v>45254</v>
      </c>
      <c r="C521" t="s">
        <v>1062</v>
      </c>
      <c r="D521" t="s">
        <v>9</v>
      </c>
      <c r="E521" t="s">
        <v>13</v>
      </c>
      <c r="F521">
        <v>9</v>
      </c>
      <c r="G521">
        <v>8863</v>
      </c>
      <c r="H521">
        <v>79764</v>
      </c>
      <c r="I521">
        <v>1968</v>
      </c>
    </row>
    <row r="522" spans="1:9" x14ac:dyDescent="0.3">
      <c r="A522" t="s">
        <v>1063</v>
      </c>
      <c r="B522" s="1">
        <v>45432</v>
      </c>
      <c r="C522" t="s">
        <v>1064</v>
      </c>
      <c r="D522" t="s">
        <v>36</v>
      </c>
      <c r="E522" t="s">
        <v>19</v>
      </c>
      <c r="F522">
        <v>8</v>
      </c>
      <c r="G522">
        <v>7502</v>
      </c>
      <c r="H522">
        <v>60014</v>
      </c>
      <c r="I522">
        <v>6638</v>
      </c>
    </row>
    <row r="523" spans="1:9" x14ac:dyDescent="0.3">
      <c r="A523" t="s">
        <v>1065</v>
      </c>
      <c r="B523" s="1">
        <v>45433</v>
      </c>
      <c r="C523" t="s">
        <v>1066</v>
      </c>
      <c r="D523" t="s">
        <v>54</v>
      </c>
      <c r="E523" t="s">
        <v>13</v>
      </c>
      <c r="F523">
        <v>12</v>
      </c>
      <c r="G523">
        <v>4708</v>
      </c>
      <c r="H523">
        <v>56491</v>
      </c>
      <c r="I523">
        <v>103</v>
      </c>
    </row>
    <row r="524" spans="1:9" x14ac:dyDescent="0.3">
      <c r="A524" t="s">
        <v>1067</v>
      </c>
      <c r="B524" s="1">
        <v>45663</v>
      </c>
      <c r="C524" t="s">
        <v>1068</v>
      </c>
      <c r="D524" t="s">
        <v>69</v>
      </c>
      <c r="E524" t="s">
        <v>19</v>
      </c>
      <c r="F524">
        <v>28</v>
      </c>
      <c r="G524">
        <v>4968</v>
      </c>
      <c r="H524">
        <v>139118</v>
      </c>
      <c r="I524">
        <v>2002</v>
      </c>
    </row>
    <row r="525" spans="1:9" x14ac:dyDescent="0.3">
      <c r="A525" t="s">
        <v>1069</v>
      </c>
      <c r="B525" s="1">
        <v>44755</v>
      </c>
      <c r="C525" t="s">
        <v>1070</v>
      </c>
      <c r="D525" t="s">
        <v>54</v>
      </c>
      <c r="E525" t="s">
        <v>19</v>
      </c>
      <c r="F525">
        <v>28</v>
      </c>
      <c r="G525">
        <v>5609</v>
      </c>
      <c r="H525">
        <v>157056</v>
      </c>
      <c r="I525">
        <v>4176</v>
      </c>
    </row>
    <row r="526" spans="1:9" x14ac:dyDescent="0.3">
      <c r="A526" t="s">
        <v>1071</v>
      </c>
      <c r="B526" s="1">
        <v>45610</v>
      </c>
      <c r="C526" t="s">
        <v>1072</v>
      </c>
      <c r="D526" t="s">
        <v>29</v>
      </c>
      <c r="E526" t="s">
        <v>13</v>
      </c>
      <c r="F526">
        <v>38</v>
      </c>
      <c r="G526">
        <v>9365</v>
      </c>
      <c r="H526">
        <v>355878</v>
      </c>
      <c r="I526">
        <v>3542</v>
      </c>
    </row>
    <row r="527" spans="1:9" x14ac:dyDescent="0.3">
      <c r="A527" t="s">
        <v>1073</v>
      </c>
      <c r="B527" s="1">
        <v>45217</v>
      </c>
      <c r="C527" t="s">
        <v>1074</v>
      </c>
      <c r="D527" t="s">
        <v>69</v>
      </c>
      <c r="E527" t="s">
        <v>13</v>
      </c>
      <c r="F527">
        <v>30</v>
      </c>
      <c r="G527">
        <v>7940</v>
      </c>
      <c r="H527">
        <v>238214</v>
      </c>
      <c r="I527">
        <v>2114</v>
      </c>
    </row>
    <row r="528" spans="1:9" x14ac:dyDescent="0.3">
      <c r="A528" t="s">
        <v>1075</v>
      </c>
      <c r="B528" s="1">
        <v>45548</v>
      </c>
      <c r="C528" t="s">
        <v>1076</v>
      </c>
      <c r="D528" t="s">
        <v>22</v>
      </c>
      <c r="E528" t="s">
        <v>7</v>
      </c>
      <c r="F528">
        <v>36</v>
      </c>
      <c r="G528">
        <v>8066</v>
      </c>
      <c r="H528">
        <v>290391</v>
      </c>
      <c r="I528">
        <v>2679</v>
      </c>
    </row>
    <row r="529" spans="1:9" x14ac:dyDescent="0.3">
      <c r="A529" t="s">
        <v>1077</v>
      </c>
      <c r="B529" s="1">
        <v>45458</v>
      </c>
      <c r="C529" t="s">
        <v>1078</v>
      </c>
      <c r="D529" t="s">
        <v>15</v>
      </c>
      <c r="E529" t="s">
        <v>7</v>
      </c>
      <c r="F529">
        <v>36</v>
      </c>
      <c r="G529">
        <v>6621</v>
      </c>
      <c r="H529">
        <v>238342</v>
      </c>
      <c r="I529">
        <v>4378</v>
      </c>
    </row>
    <row r="530" spans="1:9" x14ac:dyDescent="0.3">
      <c r="A530" t="s">
        <v>1079</v>
      </c>
      <c r="B530" s="1">
        <v>45671</v>
      </c>
      <c r="C530" t="s">
        <v>1080</v>
      </c>
      <c r="D530" t="s">
        <v>36</v>
      </c>
      <c r="E530" t="s">
        <v>13</v>
      </c>
      <c r="F530">
        <v>9</v>
      </c>
      <c r="G530">
        <v>9080</v>
      </c>
      <c r="H530">
        <v>81722</v>
      </c>
      <c r="I530">
        <v>2090</v>
      </c>
    </row>
    <row r="531" spans="1:9" x14ac:dyDescent="0.3">
      <c r="A531" t="s">
        <v>1081</v>
      </c>
      <c r="B531" s="1">
        <v>44841</v>
      </c>
      <c r="C531" t="s">
        <v>1082</v>
      </c>
      <c r="D531" t="s">
        <v>36</v>
      </c>
      <c r="E531" t="s">
        <v>13</v>
      </c>
      <c r="F531">
        <v>6</v>
      </c>
      <c r="G531">
        <v>9255</v>
      </c>
      <c r="H531">
        <v>55532</v>
      </c>
      <c r="I531">
        <v>7268</v>
      </c>
    </row>
    <row r="532" spans="1:9" x14ac:dyDescent="0.3">
      <c r="A532" t="s">
        <v>1083</v>
      </c>
      <c r="B532" s="1">
        <v>44474</v>
      </c>
      <c r="C532" t="s">
        <v>1084</v>
      </c>
      <c r="D532" t="s">
        <v>77</v>
      </c>
      <c r="E532" t="s">
        <v>19</v>
      </c>
      <c r="F532">
        <v>16</v>
      </c>
      <c r="G532">
        <v>7500</v>
      </c>
      <c r="H532">
        <v>120006</v>
      </c>
      <c r="I532">
        <v>1334</v>
      </c>
    </row>
    <row r="533" spans="1:9" x14ac:dyDescent="0.3">
      <c r="A533" t="s">
        <v>1085</v>
      </c>
      <c r="B533" s="1">
        <v>45654</v>
      </c>
      <c r="C533" t="s">
        <v>1086</v>
      </c>
      <c r="D533" t="s">
        <v>9</v>
      </c>
      <c r="E533" t="s">
        <v>13</v>
      </c>
      <c r="F533">
        <v>3</v>
      </c>
      <c r="G533">
        <v>3670</v>
      </c>
      <c r="H533">
        <v>11011</v>
      </c>
      <c r="I533">
        <v>658</v>
      </c>
    </row>
    <row r="534" spans="1:9" x14ac:dyDescent="0.3">
      <c r="A534" t="s">
        <v>1087</v>
      </c>
      <c r="B534" s="1">
        <v>44695</v>
      </c>
      <c r="C534" t="s">
        <v>1088</v>
      </c>
      <c r="D534" t="s">
        <v>43</v>
      </c>
      <c r="E534" t="s">
        <v>7</v>
      </c>
      <c r="F534">
        <v>4</v>
      </c>
      <c r="G534">
        <v>9170</v>
      </c>
      <c r="H534">
        <v>36679</v>
      </c>
      <c r="I534">
        <v>2555</v>
      </c>
    </row>
    <row r="535" spans="1:9" x14ac:dyDescent="0.3">
      <c r="A535" t="s">
        <v>1089</v>
      </c>
      <c r="B535" s="1">
        <v>45157</v>
      </c>
      <c r="C535" t="s">
        <v>1090</v>
      </c>
      <c r="D535" t="s">
        <v>22</v>
      </c>
      <c r="E535" t="s">
        <v>19</v>
      </c>
      <c r="F535">
        <v>30</v>
      </c>
      <c r="G535">
        <v>6703</v>
      </c>
      <c r="H535">
        <v>201076</v>
      </c>
      <c r="I535">
        <v>1696</v>
      </c>
    </row>
    <row r="536" spans="1:9" x14ac:dyDescent="0.3">
      <c r="A536" t="s">
        <v>1091</v>
      </c>
      <c r="B536" s="1">
        <v>45099</v>
      </c>
      <c r="C536" t="s">
        <v>1092</v>
      </c>
      <c r="D536" t="s">
        <v>34</v>
      </c>
      <c r="E536" t="s">
        <v>7</v>
      </c>
      <c r="F536">
        <v>6</v>
      </c>
      <c r="G536">
        <v>2704</v>
      </c>
      <c r="H536">
        <v>16225</v>
      </c>
      <c r="I536">
        <v>907</v>
      </c>
    </row>
    <row r="537" spans="1:9" x14ac:dyDescent="0.3">
      <c r="A537" t="s">
        <v>1093</v>
      </c>
      <c r="B537" s="1">
        <v>45006</v>
      </c>
      <c r="C537" t="s">
        <v>1094</v>
      </c>
      <c r="D537" t="s">
        <v>22</v>
      </c>
      <c r="E537" t="s">
        <v>7</v>
      </c>
      <c r="F537">
        <v>3</v>
      </c>
      <c r="G537">
        <v>9652</v>
      </c>
      <c r="H537">
        <v>28955</v>
      </c>
      <c r="I537">
        <v>3485</v>
      </c>
    </row>
    <row r="538" spans="1:9" x14ac:dyDescent="0.3">
      <c r="A538" t="s">
        <v>1095</v>
      </c>
      <c r="B538" s="1">
        <v>45441</v>
      </c>
      <c r="C538" t="s">
        <v>1096</v>
      </c>
      <c r="D538" t="s">
        <v>8</v>
      </c>
      <c r="E538" t="s">
        <v>19</v>
      </c>
      <c r="F538">
        <v>6</v>
      </c>
      <c r="G538">
        <v>3132</v>
      </c>
      <c r="H538">
        <v>18794</v>
      </c>
      <c r="I538">
        <v>2660</v>
      </c>
    </row>
    <row r="539" spans="1:9" x14ac:dyDescent="0.3">
      <c r="A539" t="s">
        <v>1097</v>
      </c>
      <c r="B539" s="1">
        <v>44341</v>
      </c>
      <c r="C539" t="s">
        <v>1098</v>
      </c>
      <c r="D539" t="s">
        <v>46</v>
      </c>
      <c r="E539" t="s">
        <v>19</v>
      </c>
      <c r="F539">
        <v>14</v>
      </c>
      <c r="G539">
        <v>819</v>
      </c>
      <c r="H539">
        <v>11464</v>
      </c>
      <c r="I539">
        <v>54</v>
      </c>
    </row>
    <row r="540" spans="1:9" x14ac:dyDescent="0.3">
      <c r="A540" t="s">
        <v>1099</v>
      </c>
      <c r="B540" s="1">
        <v>45384</v>
      </c>
      <c r="C540" t="s">
        <v>1100</v>
      </c>
      <c r="D540" t="s">
        <v>89</v>
      </c>
      <c r="E540" t="s">
        <v>13</v>
      </c>
      <c r="F540">
        <v>4</v>
      </c>
      <c r="G540">
        <v>5214</v>
      </c>
      <c r="H540">
        <v>20854</v>
      </c>
      <c r="I540">
        <v>758</v>
      </c>
    </row>
    <row r="541" spans="1:9" x14ac:dyDescent="0.3">
      <c r="A541" t="s">
        <v>1101</v>
      </c>
      <c r="B541" s="1">
        <v>44389</v>
      </c>
      <c r="C541" t="s">
        <v>1102</v>
      </c>
      <c r="D541" t="s">
        <v>89</v>
      </c>
      <c r="E541" t="s">
        <v>7</v>
      </c>
      <c r="F541">
        <v>36</v>
      </c>
      <c r="G541">
        <v>9098</v>
      </c>
      <c r="H541">
        <v>327520</v>
      </c>
      <c r="I541">
        <v>4888</v>
      </c>
    </row>
    <row r="542" spans="1:9" x14ac:dyDescent="0.3">
      <c r="A542" t="s">
        <v>1103</v>
      </c>
      <c r="B542" s="1">
        <v>44052</v>
      </c>
      <c r="C542" t="s">
        <v>1104</v>
      </c>
      <c r="D542" t="s">
        <v>15</v>
      </c>
      <c r="E542" t="s">
        <v>13</v>
      </c>
      <c r="F542">
        <v>12</v>
      </c>
      <c r="G542">
        <v>1966</v>
      </c>
      <c r="H542">
        <v>23591</v>
      </c>
      <c r="I542">
        <v>59</v>
      </c>
    </row>
    <row r="543" spans="1:9" x14ac:dyDescent="0.3">
      <c r="A543" t="s">
        <v>1105</v>
      </c>
      <c r="B543" s="1">
        <v>44610</v>
      </c>
      <c r="C543" t="s">
        <v>1106</v>
      </c>
      <c r="D543" t="s">
        <v>9</v>
      </c>
      <c r="E543" t="s">
        <v>19</v>
      </c>
      <c r="F543">
        <v>4</v>
      </c>
      <c r="G543">
        <v>547</v>
      </c>
      <c r="H543">
        <v>2187</v>
      </c>
      <c r="I543">
        <v>83</v>
      </c>
    </row>
    <row r="544" spans="1:9" x14ac:dyDescent="0.3">
      <c r="A544" t="s">
        <v>1107</v>
      </c>
      <c r="B544" s="1">
        <v>44361</v>
      </c>
      <c r="C544" t="s">
        <v>1108</v>
      </c>
      <c r="D544" t="s">
        <v>46</v>
      </c>
      <c r="E544" t="s">
        <v>19</v>
      </c>
      <c r="F544">
        <v>18</v>
      </c>
      <c r="G544">
        <v>6431</v>
      </c>
      <c r="H544">
        <v>115758</v>
      </c>
      <c r="I544">
        <v>6084</v>
      </c>
    </row>
    <row r="545" spans="1:9" x14ac:dyDescent="0.3">
      <c r="A545" t="s">
        <v>1109</v>
      </c>
      <c r="B545" s="1">
        <v>45192</v>
      </c>
      <c r="C545" t="s">
        <v>1110</v>
      </c>
      <c r="D545" t="s">
        <v>43</v>
      </c>
      <c r="E545" t="s">
        <v>7</v>
      </c>
      <c r="F545">
        <v>5</v>
      </c>
      <c r="G545">
        <v>7748</v>
      </c>
      <c r="H545">
        <v>38741</v>
      </c>
      <c r="I545">
        <v>246</v>
      </c>
    </row>
    <row r="546" spans="1:9" x14ac:dyDescent="0.3">
      <c r="A546" t="s">
        <v>1111</v>
      </c>
      <c r="B546" s="1">
        <v>45504</v>
      </c>
      <c r="C546" t="s">
        <v>1112</v>
      </c>
      <c r="D546" t="s">
        <v>22</v>
      </c>
      <c r="E546" t="s">
        <v>19</v>
      </c>
      <c r="F546">
        <v>15</v>
      </c>
      <c r="G546">
        <v>9065</v>
      </c>
      <c r="H546">
        <v>135969</v>
      </c>
      <c r="I546">
        <v>3594</v>
      </c>
    </row>
    <row r="547" spans="1:9" x14ac:dyDescent="0.3">
      <c r="A547" t="s">
        <v>1113</v>
      </c>
      <c r="B547" s="1">
        <v>44910</v>
      </c>
      <c r="C547" t="s">
        <v>1114</v>
      </c>
      <c r="D547" t="s">
        <v>32</v>
      </c>
      <c r="E547" t="s">
        <v>7</v>
      </c>
      <c r="F547">
        <v>24</v>
      </c>
      <c r="G547">
        <v>2162</v>
      </c>
      <c r="H547">
        <v>51894</v>
      </c>
      <c r="I547">
        <v>1926</v>
      </c>
    </row>
    <row r="548" spans="1:9" x14ac:dyDescent="0.3">
      <c r="A548" t="s">
        <v>1115</v>
      </c>
      <c r="B548" s="1">
        <v>45591</v>
      </c>
      <c r="C548" t="s">
        <v>1116</v>
      </c>
      <c r="D548" t="s">
        <v>9</v>
      </c>
      <c r="E548" t="s">
        <v>13</v>
      </c>
      <c r="F548">
        <v>13</v>
      </c>
      <c r="G548">
        <v>927</v>
      </c>
      <c r="H548">
        <v>12045</v>
      </c>
      <c r="I548">
        <v>163</v>
      </c>
    </row>
    <row r="549" spans="1:9" x14ac:dyDescent="0.3">
      <c r="B549" s="1"/>
      <c r="F549">
        <f>SUBTOTAL(109,Sales_Dataset[Quantity])</f>
        <v>12745</v>
      </c>
      <c r="G549">
        <f>SUBTOTAL(109,Sales_Dataset[Amount])</f>
        <v>2996272</v>
      </c>
      <c r="H549" s="4">
        <f>SUBTOTAL(109,Sales_Dataset[Total Sales])</f>
        <v>68468254</v>
      </c>
      <c r="I549" s="4">
        <f>SUBTOTAL(109,Sales_Dataset[Total Profit])</f>
        <v>1610697</v>
      </c>
    </row>
    <row r="551" spans="1:9" x14ac:dyDescent="0.3">
      <c r="B551" s="7">
        <f>Sales_Dataset[[#Totals],[Total Profit]]/Sales_Dataset[[#Totals],[Total Sales]]</f>
        <v>2.3524727240744302E-2</v>
      </c>
    </row>
    <row r="1048576" spans="8:8" x14ac:dyDescent="0.3">
      <c r="H1048576">
        <f>SUM(H2:H1048575)</f>
        <v>136936508</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1D3F-3A96-4D5F-8510-98F37EE7B832}">
  <dimension ref="S3:AI13"/>
  <sheetViews>
    <sheetView showGridLines="0" tabSelected="1" zoomScale="90" zoomScaleNormal="75" workbookViewId="0">
      <selection activeCell="Z12" sqref="Z12"/>
    </sheetView>
  </sheetViews>
  <sheetFormatPr defaultRowHeight="14.4" x14ac:dyDescent="0.3"/>
  <sheetData>
    <row r="3" spans="19:35" x14ac:dyDescent="0.3">
      <c r="S3" s="8"/>
    </row>
    <row r="13" spans="19:35" x14ac:dyDescent="0.3">
      <c r="AI13" s="8"/>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C4E9FAA-D0B3-4548-94BE-C33AE98A0C72}">
  <ds:schemaRefs/>
</ds:datastoreItem>
</file>

<file path=customXml/itemProps2.xml><?xml version="1.0" encoding="utf-8"?>
<ds:datastoreItem xmlns:ds="http://schemas.openxmlformats.org/officeDocument/2006/customXml" ds:itemID="{7FB88FA3-B9FB-437C-A456-2A928EF99B77}">
  <ds:schemaRefs/>
</ds:datastoreItem>
</file>

<file path=customXml/itemProps3.xml><?xml version="1.0" encoding="utf-8"?>
<ds:datastoreItem xmlns:ds="http://schemas.openxmlformats.org/officeDocument/2006/customXml" ds:itemID="{71EB5EA1-C4EA-41A4-868B-B77AC26908BC}">
  <ds:schemaRefs>
    <ds:schemaRef ds:uri="http://schemas.microsoft.com/DataMashup"/>
  </ds:schemaRefs>
</ds:datastoreItem>
</file>

<file path=customXml/itemProps4.xml><?xml version="1.0" encoding="utf-8"?>
<ds:datastoreItem xmlns:ds="http://schemas.openxmlformats.org/officeDocument/2006/customXml" ds:itemID="{0675ED19-31BE-4ECA-BB78-1F2CB230A567}">
  <ds:schemaRefs/>
</ds:datastoreItem>
</file>

<file path=customXml/itemProps5.xml><?xml version="1.0" encoding="utf-8"?>
<ds:datastoreItem xmlns:ds="http://schemas.openxmlformats.org/officeDocument/2006/customXml" ds:itemID="{57A62C7C-5300-4FE7-BB7C-E85BB083839C}">
  <ds:schemaRefs/>
</ds:datastoreItem>
</file>

<file path=customXml/itemProps6.xml><?xml version="1.0" encoding="utf-8"?>
<ds:datastoreItem xmlns:ds="http://schemas.openxmlformats.org/officeDocument/2006/customXml" ds:itemID="{C1D64528-50FB-408C-A659-F1C8CEEF705A}">
  <ds:schemaRefs/>
</ds:datastoreItem>
</file>

<file path=customXml/itemProps7.xml><?xml version="1.0" encoding="utf-8"?>
<ds:datastoreItem xmlns:ds="http://schemas.openxmlformats.org/officeDocument/2006/customXml" ds:itemID="{5CF7DF4F-FBC8-4186-A568-7845231651F8}">
  <ds:schemaRefs/>
</ds:datastoreItem>
</file>

<file path=customXml/itemProps8.xml><?xml version="1.0" encoding="utf-8"?>
<ds:datastoreItem xmlns:ds="http://schemas.openxmlformats.org/officeDocument/2006/customXml" ds:itemID="{A72096B1-593F-43DF-97FC-3EA3DACFF6F5}">
  <ds:schemaRefs/>
</ds:datastoreItem>
</file>

<file path=customXml/itemProps9.xml><?xml version="1.0" encoding="utf-8"?>
<ds:datastoreItem xmlns:ds="http://schemas.openxmlformats.org/officeDocument/2006/customXml" ds:itemID="{D6F6D748-BF48-47CB-BF2E-13B90C9926EC}">
  <ds:schemaRefs/>
</ds:datastoreItem>
</file>

<file path=customXml/itemProps10.xml><?xml version="1.0" encoding="utf-8"?>
<ds:datastoreItem xmlns:ds="http://schemas.openxmlformats.org/officeDocument/2006/customXml" ds:itemID="{1D10C7CF-9AD2-4F0D-B08E-88004C20B296}">
  <ds:schemaRefs/>
</ds:datastoreItem>
</file>

<file path=customXml/itemProps11.xml><?xml version="1.0" encoding="utf-8"?>
<ds:datastoreItem xmlns:ds="http://schemas.openxmlformats.org/officeDocument/2006/customXml" ds:itemID="{0DD12CE5-C0C4-4B99-ABBF-019BDC648620}">
  <ds:schemaRefs/>
</ds:datastoreItem>
</file>

<file path=customXml/itemProps12.xml><?xml version="1.0" encoding="utf-8"?>
<ds:datastoreItem xmlns:ds="http://schemas.openxmlformats.org/officeDocument/2006/customXml" ds:itemID="{C4A246C0-A3E3-4414-B261-D8DE373FCB80}">
  <ds:schemaRefs/>
</ds:datastoreItem>
</file>

<file path=customXml/itemProps13.xml><?xml version="1.0" encoding="utf-8"?>
<ds:datastoreItem xmlns:ds="http://schemas.openxmlformats.org/officeDocument/2006/customXml" ds:itemID="{061EB32F-AAB1-4F9D-9D6F-419154E933D1}">
  <ds:schemaRefs/>
</ds:datastoreItem>
</file>

<file path=customXml/itemProps14.xml><?xml version="1.0" encoding="utf-8"?>
<ds:datastoreItem xmlns:ds="http://schemas.openxmlformats.org/officeDocument/2006/customXml" ds:itemID="{026C6529-830A-4261-A7A3-9438746EB051}">
  <ds:schemaRefs/>
</ds:datastoreItem>
</file>

<file path=customXml/itemProps15.xml><?xml version="1.0" encoding="utf-8"?>
<ds:datastoreItem xmlns:ds="http://schemas.openxmlformats.org/officeDocument/2006/customXml" ds:itemID="{169D2276-BA48-48A9-A180-636FAEDF55CF}">
  <ds:schemaRefs/>
</ds:datastoreItem>
</file>

<file path=customXml/itemProps16.xml><?xml version="1.0" encoding="utf-8"?>
<ds:datastoreItem xmlns:ds="http://schemas.openxmlformats.org/officeDocument/2006/customXml" ds:itemID="{8B5C618F-EA03-4B3B-A1AB-55E6764B789E}">
  <ds:schemaRefs/>
</ds:datastoreItem>
</file>

<file path=customXml/itemProps17.xml><?xml version="1.0" encoding="utf-8"?>
<ds:datastoreItem xmlns:ds="http://schemas.openxmlformats.org/officeDocument/2006/customXml" ds:itemID="{983465A5-46C0-426E-B67B-16EFCF9D4DD7}">
  <ds:schemaRefs/>
</ds:datastoreItem>
</file>

<file path=customXml/itemProps18.xml><?xml version="1.0" encoding="utf-8"?>
<ds:datastoreItem xmlns:ds="http://schemas.openxmlformats.org/officeDocument/2006/customXml" ds:itemID="{1D459ECE-9063-4E5A-9F9E-6FC5DEC79D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Sheet1</vt:lpstr>
      <vt:lpstr>Sales Dataset</vt:lpstr>
      <vt:lpstr>Dashboard Sales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Amalnad P D</dc:creator>
  <cp:lastModifiedBy>Amalnad P D</cp:lastModifiedBy>
  <dcterms:created xsi:type="dcterms:W3CDTF">2026-01-25T20:22:34Z</dcterms:created>
  <dcterms:modified xsi:type="dcterms:W3CDTF">2026-06-20T17:43:31Z</dcterms:modified>
</cp:coreProperties>
</file>